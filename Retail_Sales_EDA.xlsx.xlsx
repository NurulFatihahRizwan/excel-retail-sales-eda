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tpmy-my.sharepoint.com/personal/nurul_22010182_utp_edu_my/Documents/"/>
    </mc:Choice>
  </mc:AlternateContent>
  <xr:revisionPtr revIDLastSave="482" documentId="8_{F5DF53D8-50F4-4DFB-B7D6-AD6286F86E83}" xr6:coauthVersionLast="47" xr6:coauthVersionMax="47" xr10:uidLastSave="{A8F13155-1BC8-4727-95B1-8ED7E6C9D3B4}"/>
  <bookViews>
    <workbookView xWindow="-110" yWindow="-110" windowWidth="19420" windowHeight="10300" tabRatio="995" xr2:uid="{26855A24-D1B0-419C-A8A9-CAF02A1F58C9}"/>
  </bookViews>
  <sheets>
    <sheet name="README" sheetId="21" r:id="rId1"/>
    <sheet name="raw_sales_dataset" sheetId="1" r:id="rId2"/>
    <sheet name="cleaned_sales_dataset" sheetId="5" r:id="rId3"/>
    <sheet name="Descriptive_Statistics" sheetId="6" r:id="rId4"/>
    <sheet name="Gender_Analysis" sheetId="8" r:id="rId5"/>
    <sheet name="Product_Analysis" sheetId="9" r:id="rId6"/>
    <sheet name="Purchase_Analysis" sheetId="15" r:id="rId7"/>
    <sheet name="Age_Analysis" sheetId="14" r:id="rId8"/>
    <sheet name="Avg_Purchase_By_Age" sheetId="18" r:id="rId9"/>
    <sheet name="Revenue_By_Product" sheetId="16" r:id="rId10"/>
    <sheet name="Revenue_By_Gender" sheetId="19" r:id="rId11"/>
    <sheet name="Monthly_Sales_Trend" sheetId="20" r:id="rId12"/>
  </sheets>
  <definedNames>
    <definedName name="_xlnm._FilterDatabase" localSheetId="2" hidden="1">cleaned_sales_dataset!$C$1:$C$201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" i="5"/>
  <c r="C9" i="6"/>
  <c r="C6" i="6"/>
  <c r="C8" i="6"/>
  <c r="C7" i="6"/>
  <c r="D9" i="6"/>
  <c r="D8" i="6"/>
  <c r="D7" i="6"/>
  <c r="D6" i="6"/>
  <c r="D5" i="6"/>
  <c r="C5" i="6"/>
</calcChain>
</file>

<file path=xl/sharedStrings.xml><?xml version="1.0" encoding="utf-8"?>
<sst xmlns="http://schemas.openxmlformats.org/spreadsheetml/2006/main" count="888" uniqueCount="55">
  <si>
    <t>Customer_ID</t>
  </si>
  <si>
    <t>Age</t>
  </si>
  <si>
    <t>Gender</t>
  </si>
  <si>
    <t>Product_Category</t>
  </si>
  <si>
    <t>Purchase_Amount_RM</t>
  </si>
  <si>
    <t>Purchase_Date</t>
  </si>
  <si>
    <t>Female</t>
  </si>
  <si>
    <t>Electronics</t>
  </si>
  <si>
    <t>Male</t>
  </si>
  <si>
    <t>Sports</t>
  </si>
  <si>
    <t>Clothing</t>
  </si>
  <si>
    <t>Beauty</t>
  </si>
  <si>
    <t>Home</t>
  </si>
  <si>
    <t>NA</t>
  </si>
  <si>
    <t>Median</t>
  </si>
  <si>
    <t>Min</t>
  </si>
  <si>
    <t>Max</t>
  </si>
  <si>
    <t>Statistic</t>
  </si>
  <si>
    <t>Count</t>
  </si>
  <si>
    <t>Mean</t>
  </si>
  <si>
    <t>Row Labels</t>
  </si>
  <si>
    <t>Count of Customer_ID</t>
  </si>
  <si>
    <t>Grand Total</t>
  </si>
  <si>
    <t>Sum of Purchase_Amount_RM</t>
  </si>
  <si>
    <t>Age_Group</t>
  </si>
  <si>
    <t>18–24</t>
  </si>
  <si>
    <t>25–34</t>
  </si>
  <si>
    <t>35–44</t>
  </si>
  <si>
    <t>45+</t>
  </si>
  <si>
    <t>Purchase_Band</t>
  </si>
  <si>
    <t>High</t>
  </si>
  <si>
    <t>Low</t>
  </si>
  <si>
    <t>Medium</t>
  </si>
  <si>
    <t>Average of Purchase_Amount_RM</t>
  </si>
  <si>
    <t>Jan</t>
  </si>
  <si>
    <t>Feb</t>
  </si>
  <si>
    <t>Mar</t>
  </si>
  <si>
    <t>Apr</t>
  </si>
  <si>
    <t>May</t>
  </si>
  <si>
    <t>Jun</t>
  </si>
  <si>
    <t>Jul</t>
  </si>
  <si>
    <t>Exploratory Data Analysis of Retail Sales Data</t>
  </si>
  <si>
    <t>Project Overview</t>
  </si>
  <si>
    <t>This project performs exploratory data analysis on retail sales data to identify customer demographics, purchasing behavior, and revenue trends using Microsoft Excel.</t>
  </si>
  <si>
    <t>Dataset Summary</t>
  </si>
  <si>
    <t>• Customer demographics: Age, Gender</t>
  </si>
  <si>
    <t>• 200 transaction records</t>
  </si>
  <si>
    <t>• Sales data: Product Category, Purchase Amount, Purchase Date</t>
  </si>
  <si>
    <t>Analysis Performed</t>
  </si>
  <si>
    <t>• Data cleaning and preparation</t>
  </si>
  <si>
    <t>• Descriptive statistics</t>
  </si>
  <si>
    <t>• Pivot table analysis and visualization</t>
  </si>
  <si>
    <t>Outputs</t>
  </si>
  <si>
    <t>• Excel analysis workbook</t>
  </si>
  <si>
    <t>• Presentation slides summarizing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</si>
</sst>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left" vertical="top"/>
    </xf>
    <xf numFmtId="0" fontId="0" fillId="34" borderId="0" xfId="0" applyFill="1"/>
    <xf numFmtId="0" fontId="19" fillId="0" borderId="0" xfId="0" applyFont="1"/>
    <xf numFmtId="0" fontId="20" fillId="33" borderId="0" xfId="0" applyFont="1" applyFill="1"/>
    <xf numFmtId="0" fontId="0" fillId="33" borderId="0" xfId="0" applyFill="1"/>
    <xf numFmtId="0" fontId="0" fillId="35" borderId="0" xfId="0" applyFill="1"/>
    <xf numFmtId="0" fontId="20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20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indexed="64"/>
          <bgColor theme="3" tint="0.249977111117893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[Retail_Sales_EDA.xlsx.xlsx]Gender_Analysis!PivotTable2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MY" sz="1400" b="0" i="0" u="none" strike="noStrike" baseline="0"/>
              <a:t>Customer Distribution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13900771054136"/>
          <c:y val="0.22885121754146928"/>
          <c:w val="0.79849767049015064"/>
          <c:h val="0.60254598456883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Gender_Analysis!$B$3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Gender_Analysis!$A$4:$A$7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NA</c:v>
                </c:pt>
              </c:strCache>
            </c:strRef>
          </c:cat>
          <c:val>
            <c:numRef>
              <c:f>Gender_Analysis!$B$4:$B$7</c:f>
              <c:numCache>
                <c:formatCode>0.00%</c:formatCode>
                <c:ptCount val="3"/>
                <c:pt idx="0">
                  <c:v>0.51500000000000001</c:v>
                </c:pt>
                <c:pt idx="1">
                  <c:v>0.435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C-48BC-B1B4-8F0BD83D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181616"/>
        <c:axId val="1039179216"/>
      </c:barChart>
      <c:catAx>
        <c:axId val="10391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79216"/>
        <c:crosses val="autoZero"/>
        <c:auto val="1"/>
        <c:lblAlgn val="ctr"/>
        <c:lblOffset val="100"/>
        <c:noMultiLvlLbl val="0"/>
      </c:catAx>
      <c:valAx>
        <c:axId val="10391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[Retail_Sales_EDA.xlsx.xlsx]Product_Analysis!PivotTable3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Number of Purchases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Product_Analysis!$A$4:$A$10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NA</c:v>
                </c:pt>
                <c:pt idx="5">
                  <c:v>Sports</c:v>
                </c:pt>
              </c:strCache>
            </c:strRef>
          </c:cat>
          <c:val>
            <c:numRef>
              <c:f>Product_Analysis!$B$4:$B$10</c:f>
              <c:numCache>
                <c:formatCode>0.00%</c:formatCode>
                <c:ptCount val="6"/>
                <c:pt idx="0">
                  <c:v>0.155</c:v>
                </c:pt>
                <c:pt idx="1">
                  <c:v>0.23499999999999999</c:v>
                </c:pt>
                <c:pt idx="2">
                  <c:v>0.28000000000000003</c:v>
                </c:pt>
                <c:pt idx="3">
                  <c:v>0.18</c:v>
                </c:pt>
                <c:pt idx="4">
                  <c:v>0.09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C-4BFE-94C0-0E371B8D7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173936"/>
        <c:axId val="1039161936"/>
      </c:barChart>
      <c:catAx>
        <c:axId val="103917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61936"/>
        <c:crosses val="autoZero"/>
        <c:auto val="1"/>
        <c:lblAlgn val="ctr"/>
        <c:lblOffset val="100"/>
        <c:noMultiLvlLbl val="0"/>
      </c:catAx>
      <c:valAx>
        <c:axId val="10391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7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[Retail_Sales_EDA.xlsx.xlsx]Purchase_Analysis!PivotTable6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Number of Purchases by Amount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Purchase_Analysis!$B$3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Purchase_Analysis!$A$4:$A$7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Purchase_Analysis!$B$4:$B$7</c:f>
              <c:numCache>
                <c:formatCode>0.00%</c:formatCode>
                <c:ptCount val="3"/>
                <c:pt idx="0">
                  <c:v>0.11</c:v>
                </c:pt>
                <c:pt idx="1">
                  <c:v>0.33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4E22-80EA-50AD39A4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203696"/>
        <c:axId val="1039200336"/>
      </c:barChart>
      <c:catAx>
        <c:axId val="10392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00336"/>
        <c:crosses val="autoZero"/>
        <c:auto val="1"/>
        <c:lblAlgn val="ctr"/>
        <c:lblOffset val="100"/>
        <c:noMultiLvlLbl val="0"/>
      </c:catAx>
      <c:valAx>
        <c:axId val="10392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[Retail_Sales_EDA.xlsx.xlsx]Age_Analysis!PivotTable5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Customers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Age_Analysis!$A$4:$A$8</c:f>
              <c:strCache>
                <c:ptCount val="4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45+</c:v>
                </c:pt>
              </c:strCache>
            </c:strRef>
          </c:cat>
          <c:val>
            <c:numRef>
              <c:f>Age_Analysis!$B$4:$B$8</c:f>
              <c:numCache>
                <c:formatCode>General</c:formatCode>
                <c:ptCount val="4"/>
                <c:pt idx="0">
                  <c:v>46</c:v>
                </c:pt>
                <c:pt idx="1">
                  <c:v>96</c:v>
                </c:pt>
                <c:pt idx="2">
                  <c:v>47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1-46E0-A3C7-D00ED0720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207536"/>
        <c:axId val="1039202256"/>
      </c:barChart>
      <c:catAx>
        <c:axId val="10392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02256"/>
        <c:crosses val="autoZero"/>
        <c:auto val="1"/>
        <c:lblAlgn val="ctr"/>
        <c:lblOffset val="100"/>
        <c:noMultiLvlLbl val="0"/>
      </c:catAx>
      <c:valAx>
        <c:axId val="10392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[Retail_Sales_EDA.xlsx.xlsx]Avg_Purchase_By_Age!PivotTable12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Purchase Amount by Age Group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Avg_Purchase_By_Age!$B$3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Avg_Purchase_By_Age!$A$4:$A$8</c:f>
              <c:strCache>
                <c:ptCount val="4"/>
                <c:pt idx="0">
                  <c:v>35–44</c:v>
                </c:pt>
                <c:pt idx="1">
                  <c:v>18–24</c:v>
                </c:pt>
                <c:pt idx="2">
                  <c:v>25–34</c:v>
                </c:pt>
                <c:pt idx="3">
                  <c:v>45+</c:v>
                </c:pt>
              </c:strCache>
            </c:strRef>
          </c:cat>
          <c:val>
            <c:numRef>
              <c:f>Avg_Purchase_By_Age!$B$4:$B$8</c:f>
              <c:numCache>
                <c:formatCode>General</c:formatCode>
                <c:ptCount val="4"/>
                <c:pt idx="0">
                  <c:v>148.93617021276594</c:v>
                </c:pt>
                <c:pt idx="1">
                  <c:v>146.19565217391303</c:v>
                </c:pt>
                <c:pt idx="2">
                  <c:v>130.20833333333334</c:v>
                </c:pt>
                <c:pt idx="3">
                  <c:v>106.81818181818181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9-4A38-B2D1-91BAD3EC3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184496"/>
        <c:axId val="1039182576"/>
      </c:barChart>
      <c:catAx>
        <c:axId val="103918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82576"/>
        <c:crosses val="autoZero"/>
        <c:auto val="1"/>
        <c:lblAlgn val="ctr"/>
        <c:lblOffset val="100"/>
        <c:noMultiLvlLbl val="0"/>
      </c:catAx>
      <c:valAx>
        <c:axId val="10391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[Retail_Sales_EDA.xlsx.xlsx]Revenue_By_Product!PivotTable9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Revenue_By_Product!$A$4:$A$10</c:f>
              <c:strCache>
                <c:ptCount val="6"/>
                <c:pt idx="0">
                  <c:v>Sports</c:v>
                </c:pt>
                <c:pt idx="1">
                  <c:v>NA</c:v>
                </c:pt>
                <c:pt idx="2">
                  <c:v>Beauty</c:v>
                </c:pt>
                <c:pt idx="3">
                  <c:v>Home</c:v>
                </c:pt>
                <c:pt idx="4">
                  <c:v>Clothing</c:v>
                </c:pt>
                <c:pt idx="5">
                  <c:v>Electronics</c:v>
                </c:pt>
              </c:strCache>
            </c:strRef>
          </c:cat>
          <c:val>
            <c:numRef>
              <c:f>Revenue_By_Product!$B$4:$B$10</c:f>
              <c:numCache>
                <c:formatCode>General</c:formatCode>
                <c:ptCount val="6"/>
                <c:pt idx="0">
                  <c:v>1800</c:v>
                </c:pt>
                <c:pt idx="1">
                  <c:v>2700</c:v>
                </c:pt>
                <c:pt idx="2">
                  <c:v>4425</c:v>
                </c:pt>
                <c:pt idx="3">
                  <c:v>5125</c:v>
                </c:pt>
                <c:pt idx="4">
                  <c:v>6100</c:v>
                </c:pt>
                <c:pt idx="5">
                  <c:v>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2-4C1D-83AE-D5863E0D5A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220976"/>
        <c:axId val="1039221456"/>
      </c:barChart>
      <c:catAx>
        <c:axId val="10392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21456"/>
        <c:crosses val="autoZero"/>
        <c:auto val="1"/>
        <c:lblAlgn val="ctr"/>
        <c:lblOffset val="100"/>
        <c:noMultiLvlLbl val="0"/>
      </c:catAx>
      <c:valAx>
        <c:axId val="10392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[Retail_Sales_EDA.xlsx.xlsx]Revenue_By_Gender!PivotTable13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Revenue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Revenue_By_Gender!$A$4:$A$7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NA</c:v>
                </c:pt>
              </c:strCache>
            </c:strRef>
          </c:cat>
          <c:val>
            <c:numRef>
              <c:f>Revenue_By_Gender!$B$4:$B$7</c:f>
              <c:numCache>
                <c:formatCode>0.00%</c:formatCode>
                <c:ptCount val="3"/>
                <c:pt idx="0">
                  <c:v>0.53832116788321172</c:v>
                </c:pt>
                <c:pt idx="1">
                  <c:v>0.41514598540145986</c:v>
                </c:pt>
                <c:pt idx="2">
                  <c:v>4.6532846715328466E-2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7-4114-9DE7-144CDF6EC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220016"/>
        <c:axId val="1039215216"/>
      </c:barChart>
      <c:catAx>
        <c:axId val="103922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15216"/>
        <c:crosses val="autoZero"/>
        <c:auto val="1"/>
        <c:lblAlgn val="ctr"/>
        <c:lblOffset val="100"/>
        <c:noMultiLvlLbl val="0"/>
      </c:catAx>
      <c:valAx>
        <c:axId val="10392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2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[Retail_Sales_EDA.xlsx.xlsx]Monthly_Sales_Trend!PivotTable14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baseline="0"/>
              <a:t>Total Revenue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Monthly_Sales_Trend!$A$4:$A$11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Monthly_Sales_Trend!$B$4:$B$11</c:f>
              <c:numCache>
                <c:formatCode>General</c:formatCode>
                <c:ptCount val="7"/>
                <c:pt idx="0">
                  <c:v>3700</c:v>
                </c:pt>
                <c:pt idx="1">
                  <c:v>3600</c:v>
                </c:pt>
                <c:pt idx="2">
                  <c:v>4125</c:v>
                </c:pt>
                <c:pt idx="3">
                  <c:v>4150</c:v>
                </c:pt>
                <c:pt idx="4">
                  <c:v>4525</c:v>
                </c:pt>
                <c:pt idx="5">
                  <c:v>4325</c:v>
                </c:pt>
                <c:pt idx="6">
                  <c:v>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3-4EDE-BA15-7CD2D381F1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9217136"/>
        <c:axId val="1039208976"/>
      </c:lineChart>
      <c:catAx>
        <c:axId val="103921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08976"/>
        <c:crosses val="autoZero"/>
        <c:auto val="1"/>
        <c:lblAlgn val="ctr"/>
        <c:lblOffset val="100"/>
        <c:noMultiLvlLbl val="0"/>
      </c:catAx>
      <c:valAx>
        <c:axId val="1039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21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171450</xdr:rowOff>
    </xdr:from>
    <xdr:to>
      <xdr:col>9</xdr:col>
      <xdr:colOff>603250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C518D-C355-13DF-9B89-079D42C41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</xdr:colOff>
      <xdr:row>2</xdr:row>
      <xdr:rowOff>13019</xdr:rowOff>
    </xdr:from>
    <xdr:to>
      <xdr:col>10</xdr:col>
      <xdr:colOff>603770</xdr:colOff>
      <xdr:row>17</xdr:row>
      <xdr:rowOff>176966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F36F7-634A-5B62-8DEA-F26BCBD3F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0</xdr:rowOff>
    </xdr:from>
    <xdr:to>
      <xdr:col>10</xdr:col>
      <xdr:colOff>591207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41F90-8173-DC2E-B446-1A34943C0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19050</xdr:rowOff>
    </xdr:from>
    <xdr:to>
      <xdr:col>9</xdr:col>
      <xdr:colOff>57150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1CA48-9783-41C0-9756-80C94D42B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0</xdr:rowOff>
    </xdr:from>
    <xdr:to>
      <xdr:col>12</xdr:col>
      <xdr:colOff>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BDB46-C3D6-F12F-2115-BA91AA807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17219</xdr:colOff>
      <xdr:row>1</xdr:row>
      <xdr:rowOff>172849</xdr:rowOff>
    </xdr:from>
    <xdr:to>
      <xdr:col>11</xdr:col>
      <xdr:colOff>43051</xdr:colOff>
      <xdr:row>18</xdr:row>
      <xdr:rowOff>10763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137CD-2D6B-B86D-6BF9-BB729F624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171450</xdr:rowOff>
    </xdr:from>
    <xdr:to>
      <xdr:col>10</xdr:col>
      <xdr:colOff>6350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A2218-99C6-DDCC-6C40-ED9CD11DE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171450</xdr:rowOff>
    </xdr:from>
    <xdr:to>
      <xdr:col>12</xdr:col>
      <xdr:colOff>19844</xdr:colOff>
      <xdr:row>20</xdr:row>
      <xdr:rowOff>148828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54327-D7C2-EAB4-D7D1-6D6518312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8.568853819444" createdVersion="8" refreshedVersion="8" minRefreshableVersion="3" recordCount="201" xr:uid="{881C1CDD-345C-4555-8415-86C20D0418E8}">
  <cacheSource type="worksheet">
    <worksheetSource ref="A1:F1048576" sheet="cleaned_sales_dataset"/>
  </cacheSource>
  <cacheFields count="6">
    <cacheField name="Customer_ID" numFmtId="0">
      <sharedItems containsString="0" containsBlank="1" containsNumber="1" containsInteger="1" minValue="1" maxValue="200"/>
    </cacheField>
    <cacheField name="Age" numFmtId="0">
      <sharedItems containsString="0" containsBlank="1" containsNumber="1" containsInteger="1" minValue="18" maxValue="45"/>
    </cacheField>
    <cacheField name="Gender" numFmtId="0">
      <sharedItems containsBlank="1" count="4">
        <s v="Female"/>
        <s v="Male"/>
        <s v="NA"/>
        <m/>
      </sharedItems>
    </cacheField>
    <cacheField name="Product_Category" numFmtId="0">
      <sharedItems containsBlank="1"/>
    </cacheField>
    <cacheField name="Purchase_Amount_RM" numFmtId="0">
      <sharedItems containsString="0" containsBlank="1" containsNumber="1" containsInteger="1" minValue="50" maxValue="500"/>
    </cacheField>
    <cacheField name="Purchase_Date" numFmtId="0">
      <sharedItems containsNonDate="0" containsDate="1" containsString="0" containsBlank="1" minDate="2024-01-01T00:00:00" maxDate="2024-07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8.707083912035" createdVersion="8" refreshedVersion="8" minRefreshableVersion="3" recordCount="200" xr:uid="{4000577D-925B-4319-810C-E79250300ACB}">
  <cacheSource type="worksheet">
    <worksheetSource ref="A1:F201" sheet="cleaned_sales_dataset"/>
  </cacheSource>
  <cacheFields count="6">
    <cacheField name="Customer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Product_Category" numFmtId="0">
      <sharedItems count="6">
        <s v="Electronics"/>
        <s v="Sports"/>
        <s v="Clothing"/>
        <s v="Beauty"/>
        <s v="NA"/>
        <s v="Home"/>
      </sharedItems>
    </cacheField>
    <cacheField name="Purchase_Amount_RM" numFmtId="0">
      <sharedItems containsSemiMixedTypes="0" containsString="0" containsNumber="1" containsInteger="1" minValue="50" maxValue="500"/>
    </cacheField>
    <cacheField name="Purchase_Date" numFmtId="14">
      <sharedItems containsSemiMixedTypes="0" containsNonDate="0" containsDate="1" containsString="0" minDate="2024-01-01T00:00:00" maxDate="2024-07-1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8.763929398148" createdVersion="8" refreshedVersion="8" minRefreshableVersion="3" recordCount="200" xr:uid="{FE875AF8-363A-42E6-965C-8DCD5B6BAB4D}">
  <cacheSource type="worksheet">
    <worksheetSource ref="A1:G201" sheet="cleaned_sales_dataset"/>
  </cacheSource>
  <cacheFields count="7">
    <cacheField name="Customer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8" maxValue="45"/>
    </cacheField>
    <cacheField name="Gender" numFmtId="0">
      <sharedItems/>
    </cacheField>
    <cacheField name="Product_Category" numFmtId="0">
      <sharedItems/>
    </cacheField>
    <cacheField name="Purchase_Amount_RM" numFmtId="0">
      <sharedItems containsSemiMixedTypes="0" containsString="0" containsNumber="1" containsInteger="1" minValue="50" maxValue="500"/>
    </cacheField>
    <cacheField name="Purchase_Date" numFmtId="14">
      <sharedItems containsSemiMixedTypes="0" containsNonDate="0" containsDate="1" containsString="0" minDate="2024-01-01T00:00:00" maxDate="2024-07-19T00:00:00"/>
    </cacheField>
    <cacheField name="Age_Group" numFmtId="0">
      <sharedItems count="4">
        <s v="25–34"/>
        <s v="35–44"/>
        <s v="18–24"/>
        <s v="45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8.7706755787" createdVersion="8" refreshedVersion="8" minRefreshableVersion="3" recordCount="200" xr:uid="{0CA6AB0E-D92A-4E4A-93A6-F53820B75188}">
  <cacheSource type="worksheet">
    <worksheetSource ref="A1:H201" sheet="cleaned_sales_dataset"/>
  </cacheSource>
  <cacheFields count="10">
    <cacheField name="Customer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8" maxValue="45" count="8">
        <n v="28"/>
        <n v="35"/>
        <n v="30"/>
        <n v="22"/>
        <n v="18"/>
        <n v="40"/>
        <n v="25"/>
        <n v="45"/>
      </sharedItems>
    </cacheField>
    <cacheField name="Gender" numFmtId="0">
      <sharedItems count="3">
        <s v="Female"/>
        <s v="Male"/>
        <s v="NA"/>
      </sharedItems>
    </cacheField>
    <cacheField name="Product_Category" numFmtId="0">
      <sharedItems count="6">
        <s v="Electronics"/>
        <s v="Sports"/>
        <s v="Clothing"/>
        <s v="Beauty"/>
        <s v="NA"/>
        <s v="Home"/>
      </sharedItems>
    </cacheField>
    <cacheField name="Purchase_Amount_RM" numFmtId="0">
      <sharedItems containsSemiMixedTypes="0" containsString="0" containsNumber="1" containsInteger="1" minValue="50" maxValue="500"/>
    </cacheField>
    <cacheField name="Purchase_Date" numFmtId="14">
      <sharedItems containsSemiMixedTypes="0" containsNonDate="0" containsDate="1" containsString="0" minDate="2024-01-01T00:00:00" maxDate="2024-07-19T00:00:00" count="2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</sharedItems>
      <fieldGroup par="9"/>
    </cacheField>
    <cacheField name="Age_Group" numFmtId="0">
      <sharedItems count="4">
        <s v="25–34"/>
        <s v="35–44"/>
        <s v="18–24"/>
        <s v="45+"/>
      </sharedItems>
    </cacheField>
    <cacheField name="Purchase_Band" numFmtId="0">
      <sharedItems count="3">
        <s v="Low"/>
        <s v="Medium"/>
        <s v="High"/>
      </sharedItems>
    </cacheField>
    <cacheField name="Days (Purchase_Date)" numFmtId="0" databaseField="0">
      <fieldGroup base="5">
        <rangePr groupBy="days" startDate="2024-01-01T00:00:00" endDate="2024-07-19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7/2024"/>
        </groupItems>
      </fieldGroup>
    </cacheField>
    <cacheField name="Months (Purchase_Date)" numFmtId="0" databaseField="0">
      <fieldGroup base="5">
        <rangePr groupBy="months" startDate="2024-01-01T00:00:00" endDate="2024-07-19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7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1"/>
    <n v="28"/>
    <x v="0"/>
    <s v="Electronics"/>
    <n v="75"/>
    <d v="2024-01-01T00:00:00"/>
  </r>
  <r>
    <n v="2"/>
    <n v="28"/>
    <x v="1"/>
    <s v="Sports"/>
    <n v="75"/>
    <d v="2024-01-02T00:00:00"/>
  </r>
  <r>
    <n v="3"/>
    <n v="35"/>
    <x v="1"/>
    <s v="Clothing"/>
    <n v="75"/>
    <d v="2024-01-03T00:00:00"/>
  </r>
  <r>
    <n v="4"/>
    <n v="30"/>
    <x v="0"/>
    <s v="Beauty"/>
    <n v="50"/>
    <d v="2024-01-04T00:00:00"/>
  </r>
  <r>
    <n v="5"/>
    <n v="22"/>
    <x v="0"/>
    <s v="Clothing"/>
    <n v="50"/>
    <d v="2024-01-05T00:00:00"/>
  </r>
  <r>
    <n v="6"/>
    <n v="22"/>
    <x v="1"/>
    <s v="Beauty"/>
    <n v="100"/>
    <d v="2024-01-06T00:00:00"/>
  </r>
  <r>
    <n v="7"/>
    <n v="18"/>
    <x v="1"/>
    <s v="Clothing"/>
    <n v="75"/>
    <d v="2024-01-07T00:00:00"/>
  </r>
  <r>
    <n v="8"/>
    <n v="40"/>
    <x v="0"/>
    <s v="Electronics"/>
    <n v="100"/>
    <d v="2024-01-08T00:00:00"/>
  </r>
  <r>
    <n v="9"/>
    <n v="30"/>
    <x v="1"/>
    <s v="Sports"/>
    <n v="150"/>
    <d v="2024-01-09T00:00:00"/>
  </r>
  <r>
    <n v="10"/>
    <n v="35"/>
    <x v="1"/>
    <s v="Electronics"/>
    <n v="150"/>
    <d v="2024-01-10T00:00:00"/>
  </r>
  <r>
    <n v="11"/>
    <n v="18"/>
    <x v="0"/>
    <s v="Clothing"/>
    <n v="50"/>
    <d v="2024-01-11T00:00:00"/>
  </r>
  <r>
    <n v="12"/>
    <n v="28"/>
    <x v="0"/>
    <s v="NA"/>
    <n v="200"/>
    <d v="2024-01-12T00:00:00"/>
  </r>
  <r>
    <n v="13"/>
    <n v="40"/>
    <x v="0"/>
    <s v="NA"/>
    <n v="150"/>
    <d v="2024-01-13T00:00:00"/>
  </r>
  <r>
    <n v="14"/>
    <n v="25"/>
    <x v="1"/>
    <s v="Home"/>
    <n v="50"/>
    <d v="2024-01-14T00:00:00"/>
  </r>
  <r>
    <n v="15"/>
    <n v="22"/>
    <x v="0"/>
    <s v="Home"/>
    <n v="300"/>
    <d v="2024-01-15T00:00:00"/>
  </r>
  <r>
    <n v="16"/>
    <n v="22"/>
    <x v="1"/>
    <s v="Clothing"/>
    <n v="300"/>
    <d v="2024-01-16T00:00:00"/>
  </r>
  <r>
    <n v="17"/>
    <n v="25"/>
    <x v="1"/>
    <s v="Electronics"/>
    <n v="50"/>
    <d v="2024-01-17T00:00:00"/>
  </r>
  <r>
    <n v="18"/>
    <n v="30"/>
    <x v="0"/>
    <s v="Clothing"/>
    <n v="75"/>
    <d v="2024-01-18T00:00:00"/>
  </r>
  <r>
    <n v="19"/>
    <n v="28"/>
    <x v="0"/>
    <s v="Home"/>
    <n v="200"/>
    <d v="2024-01-19T00:00:00"/>
  </r>
  <r>
    <n v="20"/>
    <n v="25"/>
    <x v="0"/>
    <s v="Beauty"/>
    <n v="200"/>
    <d v="2024-01-20T00:00:00"/>
  </r>
  <r>
    <n v="21"/>
    <n v="30"/>
    <x v="0"/>
    <s v="Beauty"/>
    <n v="75"/>
    <d v="2024-01-21T00:00:00"/>
  </r>
  <r>
    <n v="22"/>
    <n v="22"/>
    <x v="0"/>
    <s v="Beauty"/>
    <n v="75"/>
    <d v="2024-01-22T00:00:00"/>
  </r>
  <r>
    <n v="23"/>
    <n v="25"/>
    <x v="1"/>
    <s v="Electronics"/>
    <n v="100"/>
    <d v="2024-01-23T00:00:00"/>
  </r>
  <r>
    <n v="24"/>
    <n v="28"/>
    <x v="1"/>
    <s v="Clothing"/>
    <n v="100"/>
    <d v="2024-01-24T00:00:00"/>
  </r>
  <r>
    <n v="25"/>
    <n v="28"/>
    <x v="1"/>
    <s v="Electronics"/>
    <n v="150"/>
    <d v="2024-01-25T00:00:00"/>
  </r>
  <r>
    <n v="26"/>
    <n v="35"/>
    <x v="1"/>
    <s v="Clothing"/>
    <n v="100"/>
    <d v="2024-01-26T00:00:00"/>
  </r>
  <r>
    <n v="27"/>
    <n v="22"/>
    <x v="2"/>
    <s v="Clothing"/>
    <n v="100"/>
    <d v="2024-01-27T00:00:00"/>
  </r>
  <r>
    <n v="28"/>
    <n v="30"/>
    <x v="1"/>
    <s v="Beauty"/>
    <n v="200"/>
    <d v="2024-01-28T00:00:00"/>
  </r>
  <r>
    <n v="29"/>
    <n v="30"/>
    <x v="0"/>
    <s v="Clothing"/>
    <n v="50"/>
    <d v="2024-01-29T00:00:00"/>
  </r>
  <r>
    <n v="30"/>
    <n v="18"/>
    <x v="0"/>
    <s v="Electronics"/>
    <n v="75"/>
    <d v="2024-01-30T00:00:00"/>
  </r>
  <r>
    <n v="31"/>
    <n v="30"/>
    <x v="0"/>
    <s v="Electronics"/>
    <n v="200"/>
    <d v="2024-01-31T00:00:00"/>
  </r>
  <r>
    <n v="32"/>
    <n v="22"/>
    <x v="0"/>
    <s v="Beauty"/>
    <n v="300"/>
    <d v="2024-02-01T00:00:00"/>
  </r>
  <r>
    <n v="33"/>
    <n v="18"/>
    <x v="0"/>
    <s v="Home"/>
    <n v="150"/>
    <d v="2024-02-02T00:00:00"/>
  </r>
  <r>
    <n v="34"/>
    <n v="45"/>
    <x v="0"/>
    <s v="Electronics"/>
    <n v="150"/>
    <d v="2024-02-03T00:00:00"/>
  </r>
  <r>
    <n v="35"/>
    <n v="28"/>
    <x v="1"/>
    <s v="Electronics"/>
    <n v="50"/>
    <d v="2024-02-04T00:00:00"/>
  </r>
  <r>
    <n v="36"/>
    <n v="40"/>
    <x v="0"/>
    <s v="Home"/>
    <n v="100"/>
    <d v="2024-02-05T00:00:00"/>
  </r>
  <r>
    <n v="37"/>
    <n v="25"/>
    <x v="1"/>
    <s v="Electronics"/>
    <n v="150"/>
    <d v="2024-02-06T00:00:00"/>
  </r>
  <r>
    <n v="38"/>
    <n v="22"/>
    <x v="1"/>
    <s v="Beauty"/>
    <n v="75"/>
    <d v="2024-02-07T00:00:00"/>
  </r>
  <r>
    <n v="39"/>
    <n v="35"/>
    <x v="0"/>
    <s v="Home"/>
    <n v="75"/>
    <d v="2024-02-08T00:00:00"/>
  </r>
  <r>
    <n v="40"/>
    <n v="28"/>
    <x v="1"/>
    <s v="Electronics"/>
    <n v="100"/>
    <d v="2024-02-09T00:00:00"/>
  </r>
  <r>
    <n v="41"/>
    <n v="22"/>
    <x v="0"/>
    <s v="Electronics"/>
    <n v="50"/>
    <d v="2024-02-10T00:00:00"/>
  </r>
  <r>
    <n v="42"/>
    <n v="28"/>
    <x v="2"/>
    <s v="NA"/>
    <n v="100"/>
    <d v="2024-02-11T00:00:00"/>
  </r>
  <r>
    <n v="43"/>
    <n v="18"/>
    <x v="0"/>
    <s v="Clothing"/>
    <n v="75"/>
    <d v="2024-02-12T00:00:00"/>
  </r>
  <r>
    <n v="44"/>
    <n v="45"/>
    <x v="1"/>
    <s v="Clothing"/>
    <n v="100"/>
    <d v="2024-02-13T00:00:00"/>
  </r>
  <r>
    <n v="45"/>
    <n v="25"/>
    <x v="1"/>
    <s v="Beauty"/>
    <n v="50"/>
    <d v="2024-02-14T00:00:00"/>
  </r>
  <r>
    <n v="46"/>
    <n v="35"/>
    <x v="0"/>
    <s v="Sports"/>
    <n v="300"/>
    <d v="2024-02-15T00:00:00"/>
  </r>
  <r>
    <n v="47"/>
    <n v="25"/>
    <x v="1"/>
    <s v="NA"/>
    <n v="150"/>
    <d v="2024-02-16T00:00:00"/>
  </r>
  <r>
    <n v="48"/>
    <n v="30"/>
    <x v="2"/>
    <s v="Beauty"/>
    <n v="150"/>
    <d v="2024-02-17T00:00:00"/>
  </r>
  <r>
    <n v="49"/>
    <n v="30"/>
    <x v="2"/>
    <s v="Clothing"/>
    <n v="200"/>
    <d v="2024-02-18T00:00:00"/>
  </r>
  <r>
    <n v="50"/>
    <n v="22"/>
    <x v="0"/>
    <s v="Electronics"/>
    <n v="100"/>
    <d v="2024-02-19T00:00:00"/>
  </r>
  <r>
    <n v="51"/>
    <n v="28"/>
    <x v="1"/>
    <s v="Beauty"/>
    <n v="50"/>
    <d v="2024-02-20T00:00:00"/>
  </r>
  <r>
    <n v="52"/>
    <n v="35"/>
    <x v="1"/>
    <s v="Home"/>
    <n v="150"/>
    <d v="2024-02-21T00:00:00"/>
  </r>
  <r>
    <n v="53"/>
    <n v="45"/>
    <x v="0"/>
    <s v="Clothing"/>
    <n v="150"/>
    <d v="2024-02-22T00:00:00"/>
  </r>
  <r>
    <n v="54"/>
    <n v="40"/>
    <x v="1"/>
    <s v="Sports"/>
    <n v="200"/>
    <d v="2024-02-23T00:00:00"/>
  </r>
  <r>
    <n v="55"/>
    <n v="30"/>
    <x v="1"/>
    <s v="Electronics"/>
    <n v="100"/>
    <d v="2024-02-24T00:00:00"/>
  </r>
  <r>
    <n v="56"/>
    <n v="45"/>
    <x v="0"/>
    <s v="Clothing"/>
    <n v="50"/>
    <d v="2024-02-25T00:00:00"/>
  </r>
  <r>
    <n v="57"/>
    <n v="22"/>
    <x v="0"/>
    <s v="Electronics"/>
    <n v="75"/>
    <d v="2024-02-26T00:00:00"/>
  </r>
  <r>
    <n v="58"/>
    <n v="22"/>
    <x v="0"/>
    <s v="Clothing"/>
    <n v="100"/>
    <d v="2024-02-27T00:00:00"/>
  </r>
  <r>
    <n v="59"/>
    <n v="18"/>
    <x v="0"/>
    <s v="Electronics"/>
    <n v="150"/>
    <d v="2024-02-28T00:00:00"/>
  </r>
  <r>
    <n v="60"/>
    <n v="25"/>
    <x v="1"/>
    <s v="Electronics"/>
    <n v="150"/>
    <d v="2024-02-29T00:00:00"/>
  </r>
  <r>
    <n v="61"/>
    <n v="28"/>
    <x v="0"/>
    <s v="Electronics"/>
    <n v="100"/>
    <d v="2024-03-01T00:00:00"/>
  </r>
  <r>
    <n v="62"/>
    <n v="25"/>
    <x v="2"/>
    <s v="Home"/>
    <n v="100"/>
    <d v="2024-03-02T00:00:00"/>
  </r>
  <r>
    <n v="63"/>
    <n v="40"/>
    <x v="1"/>
    <s v="Home"/>
    <n v="150"/>
    <d v="2024-03-03T00:00:00"/>
  </r>
  <r>
    <n v="64"/>
    <n v="28"/>
    <x v="0"/>
    <s v="Home"/>
    <n v="75"/>
    <d v="2024-03-04T00:00:00"/>
  </r>
  <r>
    <n v="65"/>
    <n v="25"/>
    <x v="0"/>
    <s v="NA"/>
    <n v="50"/>
    <d v="2024-03-05T00:00:00"/>
  </r>
  <r>
    <n v="66"/>
    <n v="30"/>
    <x v="0"/>
    <s v="Clothing"/>
    <n v="75"/>
    <d v="2024-03-06T00:00:00"/>
  </r>
  <r>
    <n v="67"/>
    <n v="22"/>
    <x v="0"/>
    <s v="Electronics"/>
    <n v="75"/>
    <d v="2024-03-07T00:00:00"/>
  </r>
  <r>
    <n v="68"/>
    <n v="40"/>
    <x v="0"/>
    <s v="Beauty"/>
    <n v="75"/>
    <d v="2024-03-08T00:00:00"/>
  </r>
  <r>
    <n v="69"/>
    <n v="18"/>
    <x v="1"/>
    <s v="Electronics"/>
    <n v="75"/>
    <d v="2024-03-09T00:00:00"/>
  </r>
  <r>
    <n v="70"/>
    <n v="28"/>
    <x v="1"/>
    <s v="NA"/>
    <n v="75"/>
    <d v="2024-03-10T00:00:00"/>
  </r>
  <r>
    <n v="71"/>
    <n v="35"/>
    <x v="0"/>
    <s v="Electronics"/>
    <n v="75"/>
    <d v="2024-03-11T00:00:00"/>
  </r>
  <r>
    <n v="72"/>
    <n v="22"/>
    <x v="0"/>
    <s v="NA"/>
    <n v="300"/>
    <d v="2024-03-12T00:00:00"/>
  </r>
  <r>
    <n v="73"/>
    <n v="18"/>
    <x v="0"/>
    <s v="Electronics"/>
    <n v="50"/>
    <d v="2024-03-13T00:00:00"/>
  </r>
  <r>
    <n v="74"/>
    <n v="40"/>
    <x v="0"/>
    <s v="Beauty"/>
    <n v="150"/>
    <d v="2024-03-14T00:00:00"/>
  </r>
  <r>
    <n v="75"/>
    <n v="35"/>
    <x v="0"/>
    <s v="Clothing"/>
    <n v="100"/>
    <d v="2024-03-15T00:00:00"/>
  </r>
  <r>
    <n v="76"/>
    <n v="35"/>
    <x v="0"/>
    <s v="NA"/>
    <n v="100"/>
    <d v="2024-03-16T00:00:00"/>
  </r>
  <r>
    <n v="77"/>
    <n v="35"/>
    <x v="0"/>
    <s v="Electronics"/>
    <n v="50"/>
    <d v="2024-03-17T00:00:00"/>
  </r>
  <r>
    <n v="78"/>
    <n v="18"/>
    <x v="0"/>
    <s v="Home"/>
    <n v="100"/>
    <d v="2024-03-18T00:00:00"/>
  </r>
  <r>
    <n v="79"/>
    <n v="28"/>
    <x v="0"/>
    <s v="NA"/>
    <n v="500"/>
    <d v="2024-03-19T00:00:00"/>
  </r>
  <r>
    <n v="80"/>
    <n v="22"/>
    <x v="0"/>
    <s v="Clothing"/>
    <n v="300"/>
    <d v="2024-03-20T00:00:00"/>
  </r>
  <r>
    <n v="81"/>
    <n v="40"/>
    <x v="0"/>
    <s v="Home"/>
    <n v="200"/>
    <d v="2024-03-21T00:00:00"/>
  </r>
  <r>
    <n v="82"/>
    <n v="30"/>
    <x v="1"/>
    <s v="Home"/>
    <n v="75"/>
    <d v="2024-03-22T00:00:00"/>
  </r>
  <r>
    <n v="83"/>
    <n v="25"/>
    <x v="1"/>
    <s v="Clothing"/>
    <n v="75"/>
    <d v="2024-03-23T00:00:00"/>
  </r>
  <r>
    <n v="84"/>
    <n v="18"/>
    <x v="1"/>
    <s v="Home"/>
    <n v="150"/>
    <d v="2024-03-24T00:00:00"/>
  </r>
  <r>
    <n v="85"/>
    <n v="25"/>
    <x v="0"/>
    <s v="Home"/>
    <n v="300"/>
    <d v="2024-03-25T00:00:00"/>
  </r>
  <r>
    <n v="86"/>
    <n v="25"/>
    <x v="1"/>
    <s v="Sports"/>
    <n v="150"/>
    <d v="2024-03-26T00:00:00"/>
  </r>
  <r>
    <n v="87"/>
    <n v="35"/>
    <x v="1"/>
    <s v="Electronics"/>
    <n v="150"/>
    <d v="2024-03-27T00:00:00"/>
  </r>
  <r>
    <n v="88"/>
    <n v="30"/>
    <x v="0"/>
    <s v="Electronics"/>
    <n v="75"/>
    <d v="2024-03-28T00:00:00"/>
  </r>
  <r>
    <n v="89"/>
    <n v="40"/>
    <x v="1"/>
    <s v="NA"/>
    <n v="200"/>
    <d v="2024-03-29T00:00:00"/>
  </r>
  <r>
    <n v="90"/>
    <n v="28"/>
    <x v="0"/>
    <s v="Beauty"/>
    <n v="75"/>
    <d v="2024-03-30T00:00:00"/>
  </r>
  <r>
    <n v="91"/>
    <n v="22"/>
    <x v="1"/>
    <s v="Clothing"/>
    <n v="100"/>
    <d v="2024-03-31T00:00:00"/>
  </r>
  <r>
    <n v="92"/>
    <n v="35"/>
    <x v="1"/>
    <s v="Home"/>
    <n v="100"/>
    <d v="2024-04-01T00:00:00"/>
  </r>
  <r>
    <n v="93"/>
    <n v="35"/>
    <x v="0"/>
    <s v="Electronics"/>
    <n v="150"/>
    <d v="2024-04-02T00:00:00"/>
  </r>
  <r>
    <n v="94"/>
    <n v="30"/>
    <x v="1"/>
    <s v="Electronics"/>
    <n v="75"/>
    <d v="2024-04-03T00:00:00"/>
  </r>
  <r>
    <n v="95"/>
    <n v="35"/>
    <x v="1"/>
    <s v="Clothing"/>
    <n v="50"/>
    <d v="2024-04-04T00:00:00"/>
  </r>
  <r>
    <n v="96"/>
    <n v="28"/>
    <x v="0"/>
    <s v="Clothing"/>
    <n v="150"/>
    <d v="2024-04-05T00:00:00"/>
  </r>
  <r>
    <n v="97"/>
    <n v="30"/>
    <x v="0"/>
    <s v="Home"/>
    <n v="75"/>
    <d v="2024-04-06T00:00:00"/>
  </r>
  <r>
    <n v="98"/>
    <n v="28"/>
    <x v="1"/>
    <s v="Electronics"/>
    <n v="150"/>
    <d v="2024-04-07T00:00:00"/>
  </r>
  <r>
    <n v="99"/>
    <n v="18"/>
    <x v="0"/>
    <s v="NA"/>
    <n v="75"/>
    <d v="2024-04-08T00:00:00"/>
  </r>
  <r>
    <n v="100"/>
    <n v="22"/>
    <x v="1"/>
    <s v="NA"/>
    <n v="100"/>
    <d v="2024-04-09T00:00:00"/>
  </r>
  <r>
    <n v="101"/>
    <n v="18"/>
    <x v="1"/>
    <s v="Home"/>
    <n v="150"/>
    <d v="2024-04-10T00:00:00"/>
  </r>
  <r>
    <n v="102"/>
    <n v="30"/>
    <x v="0"/>
    <s v="Clothing"/>
    <n v="50"/>
    <d v="2024-04-11T00:00:00"/>
  </r>
  <r>
    <n v="103"/>
    <n v="25"/>
    <x v="0"/>
    <s v="Clothing"/>
    <n v="100"/>
    <d v="2024-04-12T00:00:00"/>
  </r>
  <r>
    <n v="104"/>
    <n v="30"/>
    <x v="0"/>
    <s v="Beauty"/>
    <n v="50"/>
    <d v="2024-04-13T00:00:00"/>
  </r>
  <r>
    <n v="105"/>
    <n v="45"/>
    <x v="0"/>
    <s v="Home"/>
    <n v="50"/>
    <d v="2024-04-14T00:00:00"/>
  </r>
  <r>
    <n v="106"/>
    <n v="25"/>
    <x v="2"/>
    <s v="Electronics"/>
    <n v="100"/>
    <d v="2024-04-15T00:00:00"/>
  </r>
  <r>
    <n v="107"/>
    <n v="28"/>
    <x v="0"/>
    <s v="Sports"/>
    <n v="100"/>
    <d v="2024-04-16T00:00:00"/>
  </r>
  <r>
    <n v="108"/>
    <n v="35"/>
    <x v="1"/>
    <s v="Beauty"/>
    <n v="200"/>
    <d v="2024-04-17T00:00:00"/>
  </r>
  <r>
    <n v="109"/>
    <n v="25"/>
    <x v="0"/>
    <s v="Sports"/>
    <n v="75"/>
    <d v="2024-04-18T00:00:00"/>
  </r>
  <r>
    <n v="110"/>
    <n v="18"/>
    <x v="1"/>
    <s v="Home"/>
    <n v="150"/>
    <d v="2024-04-19T00:00:00"/>
  </r>
  <r>
    <n v="111"/>
    <n v="25"/>
    <x v="1"/>
    <s v="Home"/>
    <n v="200"/>
    <d v="2024-04-20T00:00:00"/>
  </r>
  <r>
    <n v="112"/>
    <n v="22"/>
    <x v="1"/>
    <s v="Clothing"/>
    <n v="150"/>
    <d v="2024-04-21T00:00:00"/>
  </r>
  <r>
    <n v="113"/>
    <n v="45"/>
    <x v="1"/>
    <s v="Sports"/>
    <n v="100"/>
    <d v="2024-04-22T00:00:00"/>
  </r>
  <r>
    <n v="114"/>
    <n v="40"/>
    <x v="2"/>
    <s v="Beauty"/>
    <n v="100"/>
    <d v="2024-04-23T00:00:00"/>
  </r>
  <r>
    <n v="115"/>
    <n v="30"/>
    <x v="0"/>
    <s v="Electronics"/>
    <n v="100"/>
    <d v="2024-04-24T00:00:00"/>
  </r>
  <r>
    <n v="116"/>
    <n v="40"/>
    <x v="0"/>
    <s v="Electronics"/>
    <n v="300"/>
    <d v="2024-04-25T00:00:00"/>
  </r>
  <r>
    <n v="117"/>
    <n v="40"/>
    <x v="1"/>
    <s v="Clothing"/>
    <n v="200"/>
    <d v="2024-04-26T00:00:00"/>
  </r>
  <r>
    <n v="118"/>
    <n v="22"/>
    <x v="1"/>
    <s v="Beauty"/>
    <n v="500"/>
    <d v="2024-04-27T00:00:00"/>
  </r>
  <r>
    <n v="119"/>
    <n v="40"/>
    <x v="1"/>
    <s v="NA"/>
    <n v="50"/>
    <d v="2024-04-28T00:00:00"/>
  </r>
  <r>
    <n v="120"/>
    <n v="30"/>
    <x v="1"/>
    <s v="Electronics"/>
    <n v="200"/>
    <d v="2024-04-29T00:00:00"/>
  </r>
  <r>
    <n v="121"/>
    <n v="40"/>
    <x v="0"/>
    <s v="Home"/>
    <n v="300"/>
    <d v="2024-04-30T00:00:00"/>
  </r>
  <r>
    <n v="122"/>
    <n v="40"/>
    <x v="0"/>
    <s v="Clothing"/>
    <n v="75"/>
    <d v="2024-05-01T00:00:00"/>
  </r>
  <r>
    <n v="123"/>
    <n v="25"/>
    <x v="0"/>
    <s v="NA"/>
    <n v="50"/>
    <d v="2024-05-02T00:00:00"/>
  </r>
  <r>
    <n v="124"/>
    <n v="22"/>
    <x v="1"/>
    <s v="Beauty"/>
    <n v="200"/>
    <d v="2024-05-03T00:00:00"/>
  </r>
  <r>
    <n v="125"/>
    <n v="25"/>
    <x v="2"/>
    <s v="Beauty"/>
    <n v="150"/>
    <d v="2024-05-04T00:00:00"/>
  </r>
  <r>
    <n v="126"/>
    <n v="28"/>
    <x v="0"/>
    <s v="Clothing"/>
    <n v="200"/>
    <d v="2024-05-05T00:00:00"/>
  </r>
  <r>
    <n v="127"/>
    <n v="40"/>
    <x v="0"/>
    <s v="Clothing"/>
    <n v="50"/>
    <d v="2024-05-06T00:00:00"/>
  </r>
  <r>
    <n v="128"/>
    <n v="40"/>
    <x v="0"/>
    <s v="Electronics"/>
    <n v="200"/>
    <d v="2024-05-07T00:00:00"/>
  </r>
  <r>
    <n v="129"/>
    <n v="18"/>
    <x v="1"/>
    <s v="Electronics"/>
    <n v="75"/>
    <d v="2024-05-08T00:00:00"/>
  </r>
  <r>
    <n v="130"/>
    <n v="30"/>
    <x v="1"/>
    <s v="Beauty"/>
    <n v="75"/>
    <d v="2024-05-09T00:00:00"/>
  </r>
  <r>
    <n v="131"/>
    <n v="28"/>
    <x v="1"/>
    <s v="Beauty"/>
    <n v="75"/>
    <d v="2024-05-10T00:00:00"/>
  </r>
  <r>
    <n v="132"/>
    <n v="25"/>
    <x v="0"/>
    <s v="NA"/>
    <n v="200"/>
    <d v="2024-05-11T00:00:00"/>
  </r>
  <r>
    <n v="133"/>
    <n v="22"/>
    <x v="1"/>
    <s v="NA"/>
    <n v="150"/>
    <d v="2024-05-12T00:00:00"/>
  </r>
  <r>
    <n v="134"/>
    <n v="25"/>
    <x v="1"/>
    <s v="Home"/>
    <n v="150"/>
    <d v="2024-05-13T00:00:00"/>
  </r>
  <r>
    <n v="135"/>
    <n v="45"/>
    <x v="1"/>
    <s v="Beauty"/>
    <n v="100"/>
    <d v="2024-05-14T00:00:00"/>
  </r>
  <r>
    <n v="136"/>
    <n v="25"/>
    <x v="1"/>
    <s v="Sports"/>
    <n v="300"/>
    <d v="2024-05-15T00:00:00"/>
  </r>
  <r>
    <n v="137"/>
    <n v="30"/>
    <x v="0"/>
    <s v="Beauty"/>
    <n v="100"/>
    <d v="2024-05-16T00:00:00"/>
  </r>
  <r>
    <n v="138"/>
    <n v="35"/>
    <x v="0"/>
    <s v="Electronics"/>
    <n v="200"/>
    <d v="2024-05-17T00:00:00"/>
  </r>
  <r>
    <n v="139"/>
    <n v="28"/>
    <x v="0"/>
    <s v="Clothing"/>
    <n v="100"/>
    <d v="2024-05-18T00:00:00"/>
  </r>
  <r>
    <n v="140"/>
    <n v="28"/>
    <x v="1"/>
    <s v="Electronics"/>
    <n v="100"/>
    <d v="2024-05-19T00:00:00"/>
  </r>
  <r>
    <n v="141"/>
    <n v="28"/>
    <x v="0"/>
    <s v="NA"/>
    <n v="100"/>
    <d v="2024-05-20T00:00:00"/>
  </r>
  <r>
    <n v="142"/>
    <n v="25"/>
    <x v="0"/>
    <s v="Home"/>
    <n v="100"/>
    <d v="2024-05-21T00:00:00"/>
  </r>
  <r>
    <n v="143"/>
    <n v="28"/>
    <x v="1"/>
    <s v="Electronics"/>
    <n v="200"/>
    <d v="2024-05-22T00:00:00"/>
  </r>
  <r>
    <n v="144"/>
    <n v="25"/>
    <x v="1"/>
    <s v="Home"/>
    <n v="150"/>
    <d v="2024-05-23T00:00:00"/>
  </r>
  <r>
    <n v="145"/>
    <n v="25"/>
    <x v="1"/>
    <s v="Home"/>
    <n v="75"/>
    <d v="2024-05-24T00:00:00"/>
  </r>
  <r>
    <n v="146"/>
    <n v="18"/>
    <x v="0"/>
    <s v="Clothing"/>
    <n v="300"/>
    <d v="2024-05-25T00:00:00"/>
  </r>
  <r>
    <n v="147"/>
    <n v="30"/>
    <x v="0"/>
    <s v="Electronics"/>
    <n v="100"/>
    <d v="2024-05-26T00:00:00"/>
  </r>
  <r>
    <n v="148"/>
    <n v="30"/>
    <x v="1"/>
    <s v="Home"/>
    <n v="150"/>
    <d v="2024-05-27T00:00:00"/>
  </r>
  <r>
    <n v="149"/>
    <n v="18"/>
    <x v="1"/>
    <s v="Clothing"/>
    <n v="300"/>
    <d v="2024-05-28T00:00:00"/>
  </r>
  <r>
    <n v="150"/>
    <n v="25"/>
    <x v="0"/>
    <s v="Beauty"/>
    <n v="150"/>
    <d v="2024-05-29T00:00:00"/>
  </r>
  <r>
    <n v="151"/>
    <n v="45"/>
    <x v="0"/>
    <s v="Clothing"/>
    <n v="50"/>
    <d v="2024-05-30T00:00:00"/>
  </r>
  <r>
    <n v="152"/>
    <n v="25"/>
    <x v="0"/>
    <s v="Beauty"/>
    <n v="300"/>
    <d v="2024-05-31T00:00:00"/>
  </r>
  <r>
    <n v="153"/>
    <n v="22"/>
    <x v="0"/>
    <s v="Home"/>
    <n v="150"/>
    <d v="2024-06-01T00:00:00"/>
  </r>
  <r>
    <n v="154"/>
    <n v="28"/>
    <x v="1"/>
    <s v="Home"/>
    <n v="100"/>
    <d v="2024-06-02T00:00:00"/>
  </r>
  <r>
    <n v="155"/>
    <n v="28"/>
    <x v="1"/>
    <s v="Beauty"/>
    <n v="50"/>
    <d v="2024-06-03T00:00:00"/>
  </r>
  <r>
    <n v="156"/>
    <n v="25"/>
    <x v="0"/>
    <s v="Clothing"/>
    <n v="200"/>
    <d v="2024-06-04T00:00:00"/>
  </r>
  <r>
    <n v="157"/>
    <n v="35"/>
    <x v="1"/>
    <s v="Electronics"/>
    <n v="150"/>
    <d v="2024-06-05T00:00:00"/>
  </r>
  <r>
    <n v="158"/>
    <n v="35"/>
    <x v="0"/>
    <s v="Electronics"/>
    <n v="150"/>
    <d v="2024-06-06T00:00:00"/>
  </r>
  <r>
    <n v="159"/>
    <n v="25"/>
    <x v="0"/>
    <s v="Beauty"/>
    <n v="300"/>
    <d v="2024-06-07T00:00:00"/>
  </r>
  <r>
    <n v="160"/>
    <n v="35"/>
    <x v="0"/>
    <s v="Home"/>
    <n v="200"/>
    <d v="2024-06-08T00:00:00"/>
  </r>
  <r>
    <n v="161"/>
    <n v="28"/>
    <x v="1"/>
    <s v="Home"/>
    <n v="75"/>
    <d v="2024-06-09T00:00:00"/>
  </r>
  <r>
    <n v="162"/>
    <n v="30"/>
    <x v="0"/>
    <s v="Electronics"/>
    <n v="100"/>
    <d v="2024-06-10T00:00:00"/>
  </r>
  <r>
    <n v="163"/>
    <n v="30"/>
    <x v="1"/>
    <s v="Electronics"/>
    <n v="75"/>
    <d v="2024-06-11T00:00:00"/>
  </r>
  <r>
    <n v="164"/>
    <n v="30"/>
    <x v="0"/>
    <s v="Electronics"/>
    <n v="200"/>
    <d v="2024-06-12T00:00:00"/>
  </r>
  <r>
    <n v="165"/>
    <n v="22"/>
    <x v="0"/>
    <s v="Clothing"/>
    <n v="50"/>
    <d v="2024-06-13T00:00:00"/>
  </r>
  <r>
    <n v="166"/>
    <n v="40"/>
    <x v="1"/>
    <s v="Home"/>
    <n v="150"/>
    <d v="2024-06-14T00:00:00"/>
  </r>
  <r>
    <n v="167"/>
    <n v="25"/>
    <x v="2"/>
    <s v="Clothing"/>
    <n v="200"/>
    <d v="2024-06-15T00:00:00"/>
  </r>
  <r>
    <n v="168"/>
    <n v="22"/>
    <x v="0"/>
    <s v="Clothing"/>
    <n v="300"/>
    <d v="2024-06-16T00:00:00"/>
  </r>
  <r>
    <n v="169"/>
    <n v="18"/>
    <x v="1"/>
    <s v="Sports"/>
    <n v="100"/>
    <d v="2024-06-17T00:00:00"/>
  </r>
  <r>
    <n v="170"/>
    <n v="30"/>
    <x v="1"/>
    <s v="Clothing"/>
    <n v="200"/>
    <d v="2024-06-18T00:00:00"/>
  </r>
  <r>
    <n v="171"/>
    <n v="35"/>
    <x v="1"/>
    <s v="Clothing"/>
    <n v="50"/>
    <d v="2024-06-19T00:00:00"/>
  </r>
  <r>
    <n v="172"/>
    <n v="18"/>
    <x v="1"/>
    <s v="Beauty"/>
    <n v="200"/>
    <d v="2024-06-20T00:00:00"/>
  </r>
  <r>
    <n v="173"/>
    <n v="30"/>
    <x v="1"/>
    <s v="Clothing"/>
    <n v="50"/>
    <d v="2024-06-21T00:00:00"/>
  </r>
  <r>
    <n v="174"/>
    <n v="25"/>
    <x v="0"/>
    <s v="Home"/>
    <n v="100"/>
    <d v="2024-06-22T00:00:00"/>
  </r>
  <r>
    <n v="175"/>
    <n v="30"/>
    <x v="1"/>
    <s v="Beauty"/>
    <n v="200"/>
    <d v="2024-06-23T00:00:00"/>
  </r>
  <r>
    <n v="176"/>
    <n v="22"/>
    <x v="1"/>
    <s v="Sports"/>
    <n v="50"/>
    <d v="2024-06-24T00:00:00"/>
  </r>
  <r>
    <n v="177"/>
    <n v="35"/>
    <x v="0"/>
    <s v="Electronics"/>
    <n v="75"/>
    <d v="2024-06-25T00:00:00"/>
  </r>
  <r>
    <n v="178"/>
    <n v="28"/>
    <x v="1"/>
    <s v="Sports"/>
    <n v="200"/>
    <d v="2024-06-26T00:00:00"/>
  </r>
  <r>
    <n v="179"/>
    <n v="45"/>
    <x v="0"/>
    <s v="Clothing"/>
    <n v="200"/>
    <d v="2024-06-27T00:00:00"/>
  </r>
  <r>
    <n v="180"/>
    <n v="22"/>
    <x v="1"/>
    <s v="Electronics"/>
    <n v="150"/>
    <d v="2024-06-28T00:00:00"/>
  </r>
  <r>
    <n v="181"/>
    <n v="25"/>
    <x v="1"/>
    <s v="Clothing"/>
    <n v="150"/>
    <d v="2024-06-29T00:00:00"/>
  </r>
  <r>
    <n v="182"/>
    <n v="22"/>
    <x v="0"/>
    <s v="NA"/>
    <n v="150"/>
    <d v="2024-06-30T00:00:00"/>
  </r>
  <r>
    <n v="183"/>
    <n v="45"/>
    <x v="0"/>
    <s v="Clothing"/>
    <n v="75"/>
    <d v="2024-07-01T00:00:00"/>
  </r>
  <r>
    <n v="184"/>
    <n v="40"/>
    <x v="0"/>
    <s v="Clothing"/>
    <n v="100"/>
    <d v="2024-07-02T00:00:00"/>
  </r>
  <r>
    <n v="185"/>
    <n v="25"/>
    <x v="0"/>
    <s v="Home"/>
    <n v="75"/>
    <d v="2024-07-03T00:00:00"/>
  </r>
  <r>
    <n v="186"/>
    <n v="35"/>
    <x v="0"/>
    <s v="Electronics"/>
    <n v="300"/>
    <d v="2024-07-04T00:00:00"/>
  </r>
  <r>
    <n v="187"/>
    <n v="40"/>
    <x v="1"/>
    <s v="Electronics"/>
    <n v="150"/>
    <d v="2024-07-05T00:00:00"/>
  </r>
  <r>
    <n v="188"/>
    <n v="30"/>
    <x v="1"/>
    <s v="Electronics"/>
    <n v="100"/>
    <d v="2024-07-06T00:00:00"/>
  </r>
  <r>
    <n v="189"/>
    <n v="30"/>
    <x v="0"/>
    <s v="Electronics"/>
    <n v="100"/>
    <d v="2024-07-07T00:00:00"/>
  </r>
  <r>
    <n v="190"/>
    <n v="25"/>
    <x v="0"/>
    <s v="Electronics"/>
    <n v="300"/>
    <d v="2024-07-08T00:00:00"/>
  </r>
  <r>
    <n v="191"/>
    <n v="22"/>
    <x v="2"/>
    <s v="Electronics"/>
    <n v="75"/>
    <d v="2024-07-09T00:00:00"/>
  </r>
  <r>
    <n v="192"/>
    <n v="40"/>
    <x v="1"/>
    <s v="Home"/>
    <n v="150"/>
    <d v="2024-07-10T00:00:00"/>
  </r>
  <r>
    <n v="193"/>
    <n v="45"/>
    <x v="1"/>
    <s v="Electronics"/>
    <n v="150"/>
    <d v="2024-07-11T00:00:00"/>
  </r>
  <r>
    <n v="194"/>
    <n v="30"/>
    <x v="0"/>
    <s v="Clothing"/>
    <n v="150"/>
    <d v="2024-07-12T00:00:00"/>
  </r>
  <r>
    <n v="195"/>
    <n v="25"/>
    <x v="1"/>
    <s v="Beauty"/>
    <n v="50"/>
    <d v="2024-07-13T00:00:00"/>
  </r>
  <r>
    <n v="196"/>
    <n v="25"/>
    <x v="0"/>
    <s v="Clothing"/>
    <n v="300"/>
    <d v="2024-07-14T00:00:00"/>
  </r>
  <r>
    <n v="197"/>
    <n v="35"/>
    <x v="0"/>
    <s v="Home"/>
    <n v="300"/>
    <d v="2024-07-15T00:00:00"/>
  </r>
  <r>
    <n v="198"/>
    <n v="40"/>
    <x v="1"/>
    <s v="Electronics"/>
    <n v="150"/>
    <d v="2024-07-16T00:00:00"/>
  </r>
  <r>
    <n v="199"/>
    <n v="40"/>
    <x v="0"/>
    <s v="Electronics"/>
    <n v="150"/>
    <d v="2024-07-17T00:00:00"/>
  </r>
  <r>
    <n v="200"/>
    <n v="35"/>
    <x v="0"/>
    <s v="Electronics"/>
    <n v="300"/>
    <d v="2024-07-18T00:00:00"/>
  </r>
  <r>
    <m/>
    <m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28"/>
    <s v="Female"/>
    <x v="0"/>
    <n v="75"/>
    <d v="2024-01-01T00:00:00"/>
  </r>
  <r>
    <n v="2"/>
    <n v="28"/>
    <s v="Male"/>
    <x v="1"/>
    <n v="75"/>
    <d v="2024-01-02T00:00:00"/>
  </r>
  <r>
    <n v="3"/>
    <n v="35"/>
    <s v="Male"/>
    <x v="2"/>
    <n v="75"/>
    <d v="2024-01-03T00:00:00"/>
  </r>
  <r>
    <n v="4"/>
    <n v="30"/>
    <s v="Female"/>
    <x v="3"/>
    <n v="50"/>
    <d v="2024-01-04T00:00:00"/>
  </r>
  <r>
    <n v="5"/>
    <n v="22"/>
    <s v="Female"/>
    <x v="2"/>
    <n v="50"/>
    <d v="2024-01-05T00:00:00"/>
  </r>
  <r>
    <n v="6"/>
    <n v="22"/>
    <s v="Male"/>
    <x v="3"/>
    <n v="100"/>
    <d v="2024-01-06T00:00:00"/>
  </r>
  <r>
    <n v="7"/>
    <n v="18"/>
    <s v="Male"/>
    <x v="2"/>
    <n v="75"/>
    <d v="2024-01-07T00:00:00"/>
  </r>
  <r>
    <n v="8"/>
    <n v="40"/>
    <s v="Female"/>
    <x v="0"/>
    <n v="100"/>
    <d v="2024-01-08T00:00:00"/>
  </r>
  <r>
    <n v="9"/>
    <n v="30"/>
    <s v="Male"/>
    <x v="1"/>
    <n v="150"/>
    <d v="2024-01-09T00:00:00"/>
  </r>
  <r>
    <n v="10"/>
    <n v="35"/>
    <s v="Male"/>
    <x v="0"/>
    <n v="150"/>
    <d v="2024-01-10T00:00:00"/>
  </r>
  <r>
    <n v="11"/>
    <n v="18"/>
    <s v="Female"/>
    <x v="2"/>
    <n v="50"/>
    <d v="2024-01-11T00:00:00"/>
  </r>
  <r>
    <n v="12"/>
    <n v="28"/>
    <s v="Female"/>
    <x v="4"/>
    <n v="200"/>
    <d v="2024-01-12T00:00:00"/>
  </r>
  <r>
    <n v="13"/>
    <n v="40"/>
    <s v="Female"/>
    <x v="4"/>
    <n v="150"/>
    <d v="2024-01-13T00:00:00"/>
  </r>
  <r>
    <n v="14"/>
    <n v="25"/>
    <s v="Male"/>
    <x v="5"/>
    <n v="50"/>
    <d v="2024-01-14T00:00:00"/>
  </r>
  <r>
    <n v="15"/>
    <n v="22"/>
    <s v="Female"/>
    <x v="5"/>
    <n v="300"/>
    <d v="2024-01-15T00:00:00"/>
  </r>
  <r>
    <n v="16"/>
    <n v="22"/>
    <s v="Male"/>
    <x v="2"/>
    <n v="300"/>
    <d v="2024-01-16T00:00:00"/>
  </r>
  <r>
    <n v="17"/>
    <n v="25"/>
    <s v="Male"/>
    <x v="0"/>
    <n v="50"/>
    <d v="2024-01-17T00:00:00"/>
  </r>
  <r>
    <n v="18"/>
    <n v="30"/>
    <s v="Female"/>
    <x v="2"/>
    <n v="75"/>
    <d v="2024-01-18T00:00:00"/>
  </r>
  <r>
    <n v="19"/>
    <n v="28"/>
    <s v="Female"/>
    <x v="5"/>
    <n v="200"/>
    <d v="2024-01-19T00:00:00"/>
  </r>
  <r>
    <n v="20"/>
    <n v="25"/>
    <s v="Female"/>
    <x v="3"/>
    <n v="200"/>
    <d v="2024-01-20T00:00:00"/>
  </r>
  <r>
    <n v="21"/>
    <n v="30"/>
    <s v="Female"/>
    <x v="3"/>
    <n v="75"/>
    <d v="2024-01-21T00:00:00"/>
  </r>
  <r>
    <n v="22"/>
    <n v="22"/>
    <s v="Female"/>
    <x v="3"/>
    <n v="75"/>
    <d v="2024-01-22T00:00:00"/>
  </r>
  <r>
    <n v="23"/>
    <n v="25"/>
    <s v="Male"/>
    <x v="0"/>
    <n v="100"/>
    <d v="2024-01-23T00:00:00"/>
  </r>
  <r>
    <n v="24"/>
    <n v="28"/>
    <s v="Male"/>
    <x v="2"/>
    <n v="100"/>
    <d v="2024-01-24T00:00:00"/>
  </r>
  <r>
    <n v="25"/>
    <n v="28"/>
    <s v="Male"/>
    <x v="0"/>
    <n v="150"/>
    <d v="2024-01-25T00:00:00"/>
  </r>
  <r>
    <n v="26"/>
    <n v="35"/>
    <s v="Male"/>
    <x v="2"/>
    <n v="100"/>
    <d v="2024-01-26T00:00:00"/>
  </r>
  <r>
    <n v="27"/>
    <n v="22"/>
    <s v="NA"/>
    <x v="2"/>
    <n v="100"/>
    <d v="2024-01-27T00:00:00"/>
  </r>
  <r>
    <n v="28"/>
    <n v="30"/>
    <s v="Male"/>
    <x v="3"/>
    <n v="200"/>
    <d v="2024-01-28T00:00:00"/>
  </r>
  <r>
    <n v="29"/>
    <n v="30"/>
    <s v="Female"/>
    <x v="2"/>
    <n v="50"/>
    <d v="2024-01-29T00:00:00"/>
  </r>
  <r>
    <n v="30"/>
    <n v="18"/>
    <s v="Female"/>
    <x v="0"/>
    <n v="75"/>
    <d v="2024-01-30T00:00:00"/>
  </r>
  <r>
    <n v="31"/>
    <n v="30"/>
    <s v="Female"/>
    <x v="0"/>
    <n v="200"/>
    <d v="2024-01-31T00:00:00"/>
  </r>
  <r>
    <n v="32"/>
    <n v="22"/>
    <s v="Female"/>
    <x v="3"/>
    <n v="300"/>
    <d v="2024-02-01T00:00:00"/>
  </r>
  <r>
    <n v="33"/>
    <n v="18"/>
    <s v="Female"/>
    <x v="5"/>
    <n v="150"/>
    <d v="2024-02-02T00:00:00"/>
  </r>
  <r>
    <n v="34"/>
    <n v="45"/>
    <s v="Female"/>
    <x v="0"/>
    <n v="150"/>
    <d v="2024-02-03T00:00:00"/>
  </r>
  <r>
    <n v="35"/>
    <n v="28"/>
    <s v="Male"/>
    <x v="0"/>
    <n v="50"/>
    <d v="2024-02-04T00:00:00"/>
  </r>
  <r>
    <n v="36"/>
    <n v="40"/>
    <s v="Female"/>
    <x v="5"/>
    <n v="100"/>
    <d v="2024-02-05T00:00:00"/>
  </r>
  <r>
    <n v="37"/>
    <n v="25"/>
    <s v="Male"/>
    <x v="0"/>
    <n v="150"/>
    <d v="2024-02-06T00:00:00"/>
  </r>
  <r>
    <n v="38"/>
    <n v="22"/>
    <s v="Male"/>
    <x v="3"/>
    <n v="75"/>
    <d v="2024-02-07T00:00:00"/>
  </r>
  <r>
    <n v="39"/>
    <n v="35"/>
    <s v="Female"/>
    <x v="5"/>
    <n v="75"/>
    <d v="2024-02-08T00:00:00"/>
  </r>
  <r>
    <n v="40"/>
    <n v="28"/>
    <s v="Male"/>
    <x v="0"/>
    <n v="100"/>
    <d v="2024-02-09T00:00:00"/>
  </r>
  <r>
    <n v="41"/>
    <n v="22"/>
    <s v="Female"/>
    <x v="0"/>
    <n v="50"/>
    <d v="2024-02-10T00:00:00"/>
  </r>
  <r>
    <n v="42"/>
    <n v="28"/>
    <s v="NA"/>
    <x v="4"/>
    <n v="100"/>
    <d v="2024-02-11T00:00:00"/>
  </r>
  <r>
    <n v="43"/>
    <n v="18"/>
    <s v="Female"/>
    <x v="2"/>
    <n v="75"/>
    <d v="2024-02-12T00:00:00"/>
  </r>
  <r>
    <n v="44"/>
    <n v="45"/>
    <s v="Male"/>
    <x v="2"/>
    <n v="100"/>
    <d v="2024-02-13T00:00:00"/>
  </r>
  <r>
    <n v="45"/>
    <n v="25"/>
    <s v="Male"/>
    <x v="3"/>
    <n v="50"/>
    <d v="2024-02-14T00:00:00"/>
  </r>
  <r>
    <n v="46"/>
    <n v="35"/>
    <s v="Female"/>
    <x v="1"/>
    <n v="300"/>
    <d v="2024-02-15T00:00:00"/>
  </r>
  <r>
    <n v="47"/>
    <n v="25"/>
    <s v="Male"/>
    <x v="4"/>
    <n v="150"/>
    <d v="2024-02-16T00:00:00"/>
  </r>
  <r>
    <n v="48"/>
    <n v="30"/>
    <s v="NA"/>
    <x v="3"/>
    <n v="150"/>
    <d v="2024-02-17T00:00:00"/>
  </r>
  <r>
    <n v="49"/>
    <n v="30"/>
    <s v="NA"/>
    <x v="2"/>
    <n v="200"/>
    <d v="2024-02-18T00:00:00"/>
  </r>
  <r>
    <n v="50"/>
    <n v="22"/>
    <s v="Female"/>
    <x v="0"/>
    <n v="100"/>
    <d v="2024-02-19T00:00:00"/>
  </r>
  <r>
    <n v="51"/>
    <n v="28"/>
    <s v="Male"/>
    <x v="3"/>
    <n v="50"/>
    <d v="2024-02-20T00:00:00"/>
  </r>
  <r>
    <n v="52"/>
    <n v="35"/>
    <s v="Male"/>
    <x v="5"/>
    <n v="150"/>
    <d v="2024-02-21T00:00:00"/>
  </r>
  <r>
    <n v="53"/>
    <n v="45"/>
    <s v="Female"/>
    <x v="2"/>
    <n v="150"/>
    <d v="2024-02-22T00:00:00"/>
  </r>
  <r>
    <n v="54"/>
    <n v="40"/>
    <s v="Male"/>
    <x v="1"/>
    <n v="200"/>
    <d v="2024-02-23T00:00:00"/>
  </r>
  <r>
    <n v="55"/>
    <n v="30"/>
    <s v="Male"/>
    <x v="0"/>
    <n v="100"/>
    <d v="2024-02-24T00:00:00"/>
  </r>
  <r>
    <n v="56"/>
    <n v="45"/>
    <s v="Female"/>
    <x v="2"/>
    <n v="50"/>
    <d v="2024-02-25T00:00:00"/>
  </r>
  <r>
    <n v="57"/>
    <n v="22"/>
    <s v="Female"/>
    <x v="0"/>
    <n v="75"/>
    <d v="2024-02-26T00:00:00"/>
  </r>
  <r>
    <n v="58"/>
    <n v="22"/>
    <s v="Female"/>
    <x v="2"/>
    <n v="100"/>
    <d v="2024-02-27T00:00:00"/>
  </r>
  <r>
    <n v="59"/>
    <n v="18"/>
    <s v="Female"/>
    <x v="0"/>
    <n v="150"/>
    <d v="2024-02-28T00:00:00"/>
  </r>
  <r>
    <n v="60"/>
    <n v="25"/>
    <s v="Male"/>
    <x v="0"/>
    <n v="150"/>
    <d v="2024-02-29T00:00:00"/>
  </r>
  <r>
    <n v="61"/>
    <n v="28"/>
    <s v="Female"/>
    <x v="0"/>
    <n v="100"/>
    <d v="2024-03-01T00:00:00"/>
  </r>
  <r>
    <n v="62"/>
    <n v="25"/>
    <s v="NA"/>
    <x v="5"/>
    <n v="100"/>
    <d v="2024-03-02T00:00:00"/>
  </r>
  <r>
    <n v="63"/>
    <n v="40"/>
    <s v="Male"/>
    <x v="5"/>
    <n v="150"/>
    <d v="2024-03-03T00:00:00"/>
  </r>
  <r>
    <n v="64"/>
    <n v="28"/>
    <s v="Female"/>
    <x v="5"/>
    <n v="75"/>
    <d v="2024-03-04T00:00:00"/>
  </r>
  <r>
    <n v="65"/>
    <n v="25"/>
    <s v="Female"/>
    <x v="4"/>
    <n v="50"/>
    <d v="2024-03-05T00:00:00"/>
  </r>
  <r>
    <n v="66"/>
    <n v="30"/>
    <s v="Female"/>
    <x v="2"/>
    <n v="75"/>
    <d v="2024-03-06T00:00:00"/>
  </r>
  <r>
    <n v="67"/>
    <n v="22"/>
    <s v="Female"/>
    <x v="0"/>
    <n v="75"/>
    <d v="2024-03-07T00:00:00"/>
  </r>
  <r>
    <n v="68"/>
    <n v="40"/>
    <s v="Female"/>
    <x v="3"/>
    <n v="75"/>
    <d v="2024-03-08T00:00:00"/>
  </r>
  <r>
    <n v="69"/>
    <n v="18"/>
    <s v="Male"/>
    <x v="0"/>
    <n v="75"/>
    <d v="2024-03-09T00:00:00"/>
  </r>
  <r>
    <n v="70"/>
    <n v="28"/>
    <s v="Male"/>
    <x v="4"/>
    <n v="75"/>
    <d v="2024-03-10T00:00:00"/>
  </r>
  <r>
    <n v="71"/>
    <n v="35"/>
    <s v="Female"/>
    <x v="0"/>
    <n v="75"/>
    <d v="2024-03-11T00:00:00"/>
  </r>
  <r>
    <n v="72"/>
    <n v="22"/>
    <s v="Female"/>
    <x v="4"/>
    <n v="300"/>
    <d v="2024-03-12T00:00:00"/>
  </r>
  <r>
    <n v="73"/>
    <n v="18"/>
    <s v="Female"/>
    <x v="0"/>
    <n v="50"/>
    <d v="2024-03-13T00:00:00"/>
  </r>
  <r>
    <n v="74"/>
    <n v="40"/>
    <s v="Female"/>
    <x v="3"/>
    <n v="150"/>
    <d v="2024-03-14T00:00:00"/>
  </r>
  <r>
    <n v="75"/>
    <n v="35"/>
    <s v="Female"/>
    <x v="2"/>
    <n v="100"/>
    <d v="2024-03-15T00:00:00"/>
  </r>
  <r>
    <n v="76"/>
    <n v="35"/>
    <s v="Female"/>
    <x v="4"/>
    <n v="100"/>
    <d v="2024-03-16T00:00:00"/>
  </r>
  <r>
    <n v="77"/>
    <n v="35"/>
    <s v="Female"/>
    <x v="0"/>
    <n v="50"/>
    <d v="2024-03-17T00:00:00"/>
  </r>
  <r>
    <n v="78"/>
    <n v="18"/>
    <s v="Female"/>
    <x v="5"/>
    <n v="100"/>
    <d v="2024-03-18T00:00:00"/>
  </r>
  <r>
    <n v="79"/>
    <n v="28"/>
    <s v="Female"/>
    <x v="4"/>
    <n v="500"/>
    <d v="2024-03-19T00:00:00"/>
  </r>
  <r>
    <n v="80"/>
    <n v="22"/>
    <s v="Female"/>
    <x v="2"/>
    <n v="300"/>
    <d v="2024-03-20T00:00:00"/>
  </r>
  <r>
    <n v="81"/>
    <n v="40"/>
    <s v="Female"/>
    <x v="5"/>
    <n v="200"/>
    <d v="2024-03-21T00:00:00"/>
  </r>
  <r>
    <n v="82"/>
    <n v="30"/>
    <s v="Male"/>
    <x v="5"/>
    <n v="75"/>
    <d v="2024-03-22T00:00:00"/>
  </r>
  <r>
    <n v="83"/>
    <n v="25"/>
    <s v="Male"/>
    <x v="2"/>
    <n v="75"/>
    <d v="2024-03-23T00:00:00"/>
  </r>
  <r>
    <n v="84"/>
    <n v="18"/>
    <s v="Male"/>
    <x v="5"/>
    <n v="150"/>
    <d v="2024-03-24T00:00:00"/>
  </r>
  <r>
    <n v="85"/>
    <n v="25"/>
    <s v="Female"/>
    <x v="5"/>
    <n v="300"/>
    <d v="2024-03-25T00:00:00"/>
  </r>
  <r>
    <n v="86"/>
    <n v="25"/>
    <s v="Male"/>
    <x v="1"/>
    <n v="150"/>
    <d v="2024-03-26T00:00:00"/>
  </r>
  <r>
    <n v="87"/>
    <n v="35"/>
    <s v="Male"/>
    <x v="0"/>
    <n v="150"/>
    <d v="2024-03-27T00:00:00"/>
  </r>
  <r>
    <n v="88"/>
    <n v="30"/>
    <s v="Female"/>
    <x v="0"/>
    <n v="75"/>
    <d v="2024-03-28T00:00:00"/>
  </r>
  <r>
    <n v="89"/>
    <n v="40"/>
    <s v="Male"/>
    <x v="4"/>
    <n v="200"/>
    <d v="2024-03-29T00:00:00"/>
  </r>
  <r>
    <n v="90"/>
    <n v="28"/>
    <s v="Female"/>
    <x v="3"/>
    <n v="75"/>
    <d v="2024-03-30T00:00:00"/>
  </r>
  <r>
    <n v="91"/>
    <n v="22"/>
    <s v="Male"/>
    <x v="2"/>
    <n v="100"/>
    <d v="2024-03-31T00:00:00"/>
  </r>
  <r>
    <n v="92"/>
    <n v="35"/>
    <s v="Male"/>
    <x v="5"/>
    <n v="100"/>
    <d v="2024-04-01T00:00:00"/>
  </r>
  <r>
    <n v="93"/>
    <n v="35"/>
    <s v="Female"/>
    <x v="0"/>
    <n v="150"/>
    <d v="2024-04-02T00:00:00"/>
  </r>
  <r>
    <n v="94"/>
    <n v="30"/>
    <s v="Male"/>
    <x v="0"/>
    <n v="75"/>
    <d v="2024-04-03T00:00:00"/>
  </r>
  <r>
    <n v="95"/>
    <n v="35"/>
    <s v="Male"/>
    <x v="2"/>
    <n v="50"/>
    <d v="2024-04-04T00:00:00"/>
  </r>
  <r>
    <n v="96"/>
    <n v="28"/>
    <s v="Female"/>
    <x v="2"/>
    <n v="150"/>
    <d v="2024-04-05T00:00:00"/>
  </r>
  <r>
    <n v="97"/>
    <n v="30"/>
    <s v="Female"/>
    <x v="5"/>
    <n v="75"/>
    <d v="2024-04-06T00:00:00"/>
  </r>
  <r>
    <n v="98"/>
    <n v="28"/>
    <s v="Male"/>
    <x v="0"/>
    <n v="150"/>
    <d v="2024-04-07T00:00:00"/>
  </r>
  <r>
    <n v="99"/>
    <n v="18"/>
    <s v="Female"/>
    <x v="4"/>
    <n v="75"/>
    <d v="2024-04-08T00:00:00"/>
  </r>
  <r>
    <n v="100"/>
    <n v="22"/>
    <s v="Male"/>
    <x v="4"/>
    <n v="100"/>
    <d v="2024-04-09T00:00:00"/>
  </r>
  <r>
    <n v="101"/>
    <n v="18"/>
    <s v="Male"/>
    <x v="5"/>
    <n v="150"/>
    <d v="2024-04-10T00:00:00"/>
  </r>
  <r>
    <n v="102"/>
    <n v="30"/>
    <s v="Female"/>
    <x v="2"/>
    <n v="50"/>
    <d v="2024-04-11T00:00:00"/>
  </r>
  <r>
    <n v="103"/>
    <n v="25"/>
    <s v="Female"/>
    <x v="2"/>
    <n v="100"/>
    <d v="2024-04-12T00:00:00"/>
  </r>
  <r>
    <n v="104"/>
    <n v="30"/>
    <s v="Female"/>
    <x v="3"/>
    <n v="50"/>
    <d v="2024-04-13T00:00:00"/>
  </r>
  <r>
    <n v="105"/>
    <n v="45"/>
    <s v="Female"/>
    <x v="5"/>
    <n v="50"/>
    <d v="2024-04-14T00:00:00"/>
  </r>
  <r>
    <n v="106"/>
    <n v="25"/>
    <s v="NA"/>
    <x v="0"/>
    <n v="100"/>
    <d v="2024-04-15T00:00:00"/>
  </r>
  <r>
    <n v="107"/>
    <n v="28"/>
    <s v="Female"/>
    <x v="1"/>
    <n v="100"/>
    <d v="2024-04-16T00:00:00"/>
  </r>
  <r>
    <n v="108"/>
    <n v="35"/>
    <s v="Male"/>
    <x v="3"/>
    <n v="200"/>
    <d v="2024-04-17T00:00:00"/>
  </r>
  <r>
    <n v="109"/>
    <n v="25"/>
    <s v="Female"/>
    <x v="1"/>
    <n v="75"/>
    <d v="2024-04-18T00:00:00"/>
  </r>
  <r>
    <n v="110"/>
    <n v="18"/>
    <s v="Male"/>
    <x v="5"/>
    <n v="150"/>
    <d v="2024-04-19T00:00:00"/>
  </r>
  <r>
    <n v="111"/>
    <n v="25"/>
    <s v="Male"/>
    <x v="5"/>
    <n v="200"/>
    <d v="2024-04-20T00:00:00"/>
  </r>
  <r>
    <n v="112"/>
    <n v="22"/>
    <s v="Male"/>
    <x v="2"/>
    <n v="150"/>
    <d v="2024-04-21T00:00:00"/>
  </r>
  <r>
    <n v="113"/>
    <n v="45"/>
    <s v="Male"/>
    <x v="1"/>
    <n v="100"/>
    <d v="2024-04-22T00:00:00"/>
  </r>
  <r>
    <n v="114"/>
    <n v="40"/>
    <s v="NA"/>
    <x v="3"/>
    <n v="100"/>
    <d v="2024-04-23T00:00:00"/>
  </r>
  <r>
    <n v="115"/>
    <n v="30"/>
    <s v="Female"/>
    <x v="0"/>
    <n v="100"/>
    <d v="2024-04-24T00:00:00"/>
  </r>
  <r>
    <n v="116"/>
    <n v="40"/>
    <s v="Female"/>
    <x v="0"/>
    <n v="300"/>
    <d v="2024-04-25T00:00:00"/>
  </r>
  <r>
    <n v="117"/>
    <n v="40"/>
    <s v="Male"/>
    <x v="2"/>
    <n v="200"/>
    <d v="2024-04-26T00:00:00"/>
  </r>
  <r>
    <n v="118"/>
    <n v="22"/>
    <s v="Male"/>
    <x v="3"/>
    <n v="500"/>
    <d v="2024-04-27T00:00:00"/>
  </r>
  <r>
    <n v="119"/>
    <n v="40"/>
    <s v="Male"/>
    <x v="4"/>
    <n v="50"/>
    <d v="2024-04-28T00:00:00"/>
  </r>
  <r>
    <n v="120"/>
    <n v="30"/>
    <s v="Male"/>
    <x v="0"/>
    <n v="200"/>
    <d v="2024-04-29T00:00:00"/>
  </r>
  <r>
    <n v="121"/>
    <n v="40"/>
    <s v="Female"/>
    <x v="5"/>
    <n v="300"/>
    <d v="2024-04-30T00:00:00"/>
  </r>
  <r>
    <n v="122"/>
    <n v="40"/>
    <s v="Female"/>
    <x v="2"/>
    <n v="75"/>
    <d v="2024-05-01T00:00:00"/>
  </r>
  <r>
    <n v="123"/>
    <n v="25"/>
    <s v="Female"/>
    <x v="4"/>
    <n v="50"/>
    <d v="2024-05-02T00:00:00"/>
  </r>
  <r>
    <n v="124"/>
    <n v="22"/>
    <s v="Male"/>
    <x v="3"/>
    <n v="200"/>
    <d v="2024-05-03T00:00:00"/>
  </r>
  <r>
    <n v="125"/>
    <n v="25"/>
    <s v="NA"/>
    <x v="3"/>
    <n v="150"/>
    <d v="2024-05-04T00:00:00"/>
  </r>
  <r>
    <n v="126"/>
    <n v="28"/>
    <s v="Female"/>
    <x v="2"/>
    <n v="200"/>
    <d v="2024-05-05T00:00:00"/>
  </r>
  <r>
    <n v="127"/>
    <n v="40"/>
    <s v="Female"/>
    <x v="2"/>
    <n v="50"/>
    <d v="2024-05-06T00:00:00"/>
  </r>
  <r>
    <n v="128"/>
    <n v="40"/>
    <s v="Female"/>
    <x v="0"/>
    <n v="200"/>
    <d v="2024-05-07T00:00:00"/>
  </r>
  <r>
    <n v="129"/>
    <n v="18"/>
    <s v="Male"/>
    <x v="0"/>
    <n v="75"/>
    <d v="2024-05-08T00:00:00"/>
  </r>
  <r>
    <n v="130"/>
    <n v="30"/>
    <s v="Male"/>
    <x v="3"/>
    <n v="75"/>
    <d v="2024-05-09T00:00:00"/>
  </r>
  <r>
    <n v="131"/>
    <n v="28"/>
    <s v="Male"/>
    <x v="3"/>
    <n v="75"/>
    <d v="2024-05-10T00:00:00"/>
  </r>
  <r>
    <n v="132"/>
    <n v="25"/>
    <s v="Female"/>
    <x v="4"/>
    <n v="200"/>
    <d v="2024-05-11T00:00:00"/>
  </r>
  <r>
    <n v="133"/>
    <n v="22"/>
    <s v="Male"/>
    <x v="4"/>
    <n v="150"/>
    <d v="2024-05-12T00:00:00"/>
  </r>
  <r>
    <n v="134"/>
    <n v="25"/>
    <s v="Male"/>
    <x v="5"/>
    <n v="150"/>
    <d v="2024-05-13T00:00:00"/>
  </r>
  <r>
    <n v="135"/>
    <n v="45"/>
    <s v="Male"/>
    <x v="3"/>
    <n v="100"/>
    <d v="2024-05-14T00:00:00"/>
  </r>
  <r>
    <n v="136"/>
    <n v="25"/>
    <s v="Male"/>
    <x v="1"/>
    <n v="300"/>
    <d v="2024-05-15T00:00:00"/>
  </r>
  <r>
    <n v="137"/>
    <n v="30"/>
    <s v="Female"/>
    <x v="3"/>
    <n v="100"/>
    <d v="2024-05-16T00:00:00"/>
  </r>
  <r>
    <n v="138"/>
    <n v="35"/>
    <s v="Female"/>
    <x v="0"/>
    <n v="200"/>
    <d v="2024-05-17T00:00:00"/>
  </r>
  <r>
    <n v="139"/>
    <n v="28"/>
    <s v="Female"/>
    <x v="2"/>
    <n v="100"/>
    <d v="2024-05-18T00:00:00"/>
  </r>
  <r>
    <n v="140"/>
    <n v="28"/>
    <s v="Male"/>
    <x v="0"/>
    <n v="100"/>
    <d v="2024-05-19T00:00:00"/>
  </r>
  <r>
    <n v="141"/>
    <n v="28"/>
    <s v="Female"/>
    <x v="4"/>
    <n v="100"/>
    <d v="2024-05-20T00:00:00"/>
  </r>
  <r>
    <n v="142"/>
    <n v="25"/>
    <s v="Female"/>
    <x v="5"/>
    <n v="100"/>
    <d v="2024-05-21T00:00:00"/>
  </r>
  <r>
    <n v="143"/>
    <n v="28"/>
    <s v="Male"/>
    <x v="0"/>
    <n v="200"/>
    <d v="2024-05-22T00:00:00"/>
  </r>
  <r>
    <n v="144"/>
    <n v="25"/>
    <s v="Male"/>
    <x v="5"/>
    <n v="150"/>
    <d v="2024-05-23T00:00:00"/>
  </r>
  <r>
    <n v="145"/>
    <n v="25"/>
    <s v="Male"/>
    <x v="5"/>
    <n v="75"/>
    <d v="2024-05-24T00:00:00"/>
  </r>
  <r>
    <n v="146"/>
    <n v="18"/>
    <s v="Female"/>
    <x v="2"/>
    <n v="300"/>
    <d v="2024-05-25T00:00:00"/>
  </r>
  <r>
    <n v="147"/>
    <n v="30"/>
    <s v="Female"/>
    <x v="0"/>
    <n v="100"/>
    <d v="2024-05-26T00:00:00"/>
  </r>
  <r>
    <n v="148"/>
    <n v="30"/>
    <s v="Male"/>
    <x v="5"/>
    <n v="150"/>
    <d v="2024-05-27T00:00:00"/>
  </r>
  <r>
    <n v="149"/>
    <n v="18"/>
    <s v="Male"/>
    <x v="2"/>
    <n v="300"/>
    <d v="2024-05-28T00:00:00"/>
  </r>
  <r>
    <n v="150"/>
    <n v="25"/>
    <s v="Female"/>
    <x v="3"/>
    <n v="150"/>
    <d v="2024-05-29T00:00:00"/>
  </r>
  <r>
    <n v="151"/>
    <n v="45"/>
    <s v="Female"/>
    <x v="2"/>
    <n v="50"/>
    <d v="2024-05-30T00:00:00"/>
  </r>
  <r>
    <n v="152"/>
    <n v="25"/>
    <s v="Female"/>
    <x v="3"/>
    <n v="300"/>
    <d v="2024-05-31T00:00:00"/>
  </r>
  <r>
    <n v="153"/>
    <n v="22"/>
    <s v="Female"/>
    <x v="5"/>
    <n v="150"/>
    <d v="2024-06-01T00:00:00"/>
  </r>
  <r>
    <n v="154"/>
    <n v="28"/>
    <s v="Male"/>
    <x v="5"/>
    <n v="100"/>
    <d v="2024-06-02T00:00:00"/>
  </r>
  <r>
    <n v="155"/>
    <n v="28"/>
    <s v="Male"/>
    <x v="3"/>
    <n v="50"/>
    <d v="2024-06-03T00:00:00"/>
  </r>
  <r>
    <n v="156"/>
    <n v="25"/>
    <s v="Female"/>
    <x v="2"/>
    <n v="200"/>
    <d v="2024-06-04T00:00:00"/>
  </r>
  <r>
    <n v="157"/>
    <n v="35"/>
    <s v="Male"/>
    <x v="0"/>
    <n v="150"/>
    <d v="2024-06-05T00:00:00"/>
  </r>
  <r>
    <n v="158"/>
    <n v="35"/>
    <s v="Female"/>
    <x v="0"/>
    <n v="150"/>
    <d v="2024-06-06T00:00:00"/>
  </r>
  <r>
    <n v="159"/>
    <n v="25"/>
    <s v="Female"/>
    <x v="3"/>
    <n v="300"/>
    <d v="2024-06-07T00:00:00"/>
  </r>
  <r>
    <n v="160"/>
    <n v="35"/>
    <s v="Female"/>
    <x v="5"/>
    <n v="200"/>
    <d v="2024-06-08T00:00:00"/>
  </r>
  <r>
    <n v="161"/>
    <n v="28"/>
    <s v="Male"/>
    <x v="5"/>
    <n v="75"/>
    <d v="2024-06-09T00:00:00"/>
  </r>
  <r>
    <n v="162"/>
    <n v="30"/>
    <s v="Female"/>
    <x v="0"/>
    <n v="100"/>
    <d v="2024-06-10T00:00:00"/>
  </r>
  <r>
    <n v="163"/>
    <n v="30"/>
    <s v="Male"/>
    <x v="0"/>
    <n v="75"/>
    <d v="2024-06-11T00:00:00"/>
  </r>
  <r>
    <n v="164"/>
    <n v="30"/>
    <s v="Female"/>
    <x v="0"/>
    <n v="200"/>
    <d v="2024-06-12T00:00:00"/>
  </r>
  <r>
    <n v="165"/>
    <n v="22"/>
    <s v="Female"/>
    <x v="2"/>
    <n v="50"/>
    <d v="2024-06-13T00:00:00"/>
  </r>
  <r>
    <n v="166"/>
    <n v="40"/>
    <s v="Male"/>
    <x v="5"/>
    <n v="150"/>
    <d v="2024-06-14T00:00:00"/>
  </r>
  <r>
    <n v="167"/>
    <n v="25"/>
    <s v="NA"/>
    <x v="2"/>
    <n v="200"/>
    <d v="2024-06-15T00:00:00"/>
  </r>
  <r>
    <n v="168"/>
    <n v="22"/>
    <s v="Female"/>
    <x v="2"/>
    <n v="300"/>
    <d v="2024-06-16T00:00:00"/>
  </r>
  <r>
    <n v="169"/>
    <n v="18"/>
    <s v="Male"/>
    <x v="1"/>
    <n v="100"/>
    <d v="2024-06-17T00:00:00"/>
  </r>
  <r>
    <n v="170"/>
    <n v="30"/>
    <s v="Male"/>
    <x v="2"/>
    <n v="200"/>
    <d v="2024-06-18T00:00:00"/>
  </r>
  <r>
    <n v="171"/>
    <n v="35"/>
    <s v="Male"/>
    <x v="2"/>
    <n v="50"/>
    <d v="2024-06-19T00:00:00"/>
  </r>
  <r>
    <n v="172"/>
    <n v="18"/>
    <s v="Male"/>
    <x v="3"/>
    <n v="200"/>
    <d v="2024-06-20T00:00:00"/>
  </r>
  <r>
    <n v="173"/>
    <n v="30"/>
    <s v="Male"/>
    <x v="2"/>
    <n v="50"/>
    <d v="2024-06-21T00:00:00"/>
  </r>
  <r>
    <n v="174"/>
    <n v="25"/>
    <s v="Female"/>
    <x v="5"/>
    <n v="100"/>
    <d v="2024-06-22T00:00:00"/>
  </r>
  <r>
    <n v="175"/>
    <n v="30"/>
    <s v="Male"/>
    <x v="3"/>
    <n v="200"/>
    <d v="2024-06-23T00:00:00"/>
  </r>
  <r>
    <n v="176"/>
    <n v="22"/>
    <s v="Male"/>
    <x v="1"/>
    <n v="50"/>
    <d v="2024-06-24T00:00:00"/>
  </r>
  <r>
    <n v="177"/>
    <n v="35"/>
    <s v="Female"/>
    <x v="0"/>
    <n v="75"/>
    <d v="2024-06-25T00:00:00"/>
  </r>
  <r>
    <n v="178"/>
    <n v="28"/>
    <s v="Male"/>
    <x v="1"/>
    <n v="200"/>
    <d v="2024-06-26T00:00:00"/>
  </r>
  <r>
    <n v="179"/>
    <n v="45"/>
    <s v="Female"/>
    <x v="2"/>
    <n v="200"/>
    <d v="2024-06-27T00:00:00"/>
  </r>
  <r>
    <n v="180"/>
    <n v="22"/>
    <s v="Male"/>
    <x v="0"/>
    <n v="150"/>
    <d v="2024-06-28T00:00:00"/>
  </r>
  <r>
    <n v="181"/>
    <n v="25"/>
    <s v="Male"/>
    <x v="2"/>
    <n v="150"/>
    <d v="2024-06-29T00:00:00"/>
  </r>
  <r>
    <n v="182"/>
    <n v="22"/>
    <s v="Female"/>
    <x v="4"/>
    <n v="150"/>
    <d v="2024-06-30T00:00:00"/>
  </r>
  <r>
    <n v="183"/>
    <n v="45"/>
    <s v="Female"/>
    <x v="2"/>
    <n v="75"/>
    <d v="2024-07-01T00:00:00"/>
  </r>
  <r>
    <n v="184"/>
    <n v="40"/>
    <s v="Female"/>
    <x v="2"/>
    <n v="100"/>
    <d v="2024-07-02T00:00:00"/>
  </r>
  <r>
    <n v="185"/>
    <n v="25"/>
    <s v="Female"/>
    <x v="5"/>
    <n v="75"/>
    <d v="2024-07-03T00:00:00"/>
  </r>
  <r>
    <n v="186"/>
    <n v="35"/>
    <s v="Female"/>
    <x v="0"/>
    <n v="300"/>
    <d v="2024-07-04T00:00:00"/>
  </r>
  <r>
    <n v="187"/>
    <n v="40"/>
    <s v="Male"/>
    <x v="0"/>
    <n v="150"/>
    <d v="2024-07-05T00:00:00"/>
  </r>
  <r>
    <n v="188"/>
    <n v="30"/>
    <s v="Male"/>
    <x v="0"/>
    <n v="100"/>
    <d v="2024-07-06T00:00:00"/>
  </r>
  <r>
    <n v="189"/>
    <n v="30"/>
    <s v="Female"/>
    <x v="0"/>
    <n v="100"/>
    <d v="2024-07-07T00:00:00"/>
  </r>
  <r>
    <n v="190"/>
    <n v="25"/>
    <s v="Female"/>
    <x v="0"/>
    <n v="300"/>
    <d v="2024-07-08T00:00:00"/>
  </r>
  <r>
    <n v="191"/>
    <n v="22"/>
    <s v="NA"/>
    <x v="0"/>
    <n v="75"/>
    <d v="2024-07-09T00:00:00"/>
  </r>
  <r>
    <n v="192"/>
    <n v="40"/>
    <s v="Male"/>
    <x v="5"/>
    <n v="150"/>
    <d v="2024-07-10T00:00:00"/>
  </r>
  <r>
    <n v="193"/>
    <n v="45"/>
    <s v="Male"/>
    <x v="0"/>
    <n v="150"/>
    <d v="2024-07-11T00:00:00"/>
  </r>
  <r>
    <n v="194"/>
    <n v="30"/>
    <s v="Female"/>
    <x v="2"/>
    <n v="150"/>
    <d v="2024-07-12T00:00:00"/>
  </r>
  <r>
    <n v="195"/>
    <n v="25"/>
    <s v="Male"/>
    <x v="3"/>
    <n v="50"/>
    <d v="2024-07-13T00:00:00"/>
  </r>
  <r>
    <n v="196"/>
    <n v="25"/>
    <s v="Female"/>
    <x v="2"/>
    <n v="300"/>
    <d v="2024-07-14T00:00:00"/>
  </r>
  <r>
    <n v="197"/>
    <n v="35"/>
    <s v="Female"/>
    <x v="5"/>
    <n v="300"/>
    <d v="2024-07-15T00:00:00"/>
  </r>
  <r>
    <n v="198"/>
    <n v="40"/>
    <s v="Male"/>
    <x v="0"/>
    <n v="150"/>
    <d v="2024-07-16T00:00:00"/>
  </r>
  <r>
    <n v="199"/>
    <n v="40"/>
    <s v="Female"/>
    <x v="0"/>
    <n v="150"/>
    <d v="2024-07-17T00:00:00"/>
  </r>
  <r>
    <n v="200"/>
    <n v="35"/>
    <s v="Female"/>
    <x v="0"/>
    <n v="300"/>
    <d v="2024-07-18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n v="28"/>
    <s v="Female"/>
    <s v="Electronics"/>
    <n v="75"/>
    <d v="2024-01-01T00:00:00"/>
    <x v="0"/>
  </r>
  <r>
    <n v="2"/>
    <n v="28"/>
    <s v="Male"/>
    <s v="Sports"/>
    <n v="75"/>
    <d v="2024-01-02T00:00:00"/>
    <x v="0"/>
  </r>
  <r>
    <n v="3"/>
    <n v="35"/>
    <s v="Male"/>
    <s v="Clothing"/>
    <n v="75"/>
    <d v="2024-01-03T00:00:00"/>
    <x v="1"/>
  </r>
  <r>
    <n v="4"/>
    <n v="30"/>
    <s v="Female"/>
    <s v="Beauty"/>
    <n v="50"/>
    <d v="2024-01-04T00:00:00"/>
    <x v="0"/>
  </r>
  <r>
    <n v="5"/>
    <n v="22"/>
    <s v="Female"/>
    <s v="Clothing"/>
    <n v="50"/>
    <d v="2024-01-05T00:00:00"/>
    <x v="2"/>
  </r>
  <r>
    <n v="6"/>
    <n v="22"/>
    <s v="Male"/>
    <s v="Beauty"/>
    <n v="100"/>
    <d v="2024-01-06T00:00:00"/>
    <x v="2"/>
  </r>
  <r>
    <n v="7"/>
    <n v="18"/>
    <s v="Male"/>
    <s v="Clothing"/>
    <n v="75"/>
    <d v="2024-01-07T00:00:00"/>
    <x v="2"/>
  </r>
  <r>
    <n v="8"/>
    <n v="40"/>
    <s v="Female"/>
    <s v="Electronics"/>
    <n v="100"/>
    <d v="2024-01-08T00:00:00"/>
    <x v="1"/>
  </r>
  <r>
    <n v="9"/>
    <n v="30"/>
    <s v="Male"/>
    <s v="Sports"/>
    <n v="150"/>
    <d v="2024-01-09T00:00:00"/>
    <x v="0"/>
  </r>
  <r>
    <n v="10"/>
    <n v="35"/>
    <s v="Male"/>
    <s v="Electronics"/>
    <n v="150"/>
    <d v="2024-01-10T00:00:00"/>
    <x v="1"/>
  </r>
  <r>
    <n v="11"/>
    <n v="18"/>
    <s v="Female"/>
    <s v="Clothing"/>
    <n v="50"/>
    <d v="2024-01-11T00:00:00"/>
    <x v="2"/>
  </r>
  <r>
    <n v="12"/>
    <n v="28"/>
    <s v="Female"/>
    <s v="NA"/>
    <n v="200"/>
    <d v="2024-01-12T00:00:00"/>
    <x v="0"/>
  </r>
  <r>
    <n v="13"/>
    <n v="40"/>
    <s v="Female"/>
    <s v="NA"/>
    <n v="150"/>
    <d v="2024-01-13T00:00:00"/>
    <x v="1"/>
  </r>
  <r>
    <n v="14"/>
    <n v="25"/>
    <s v="Male"/>
    <s v="Home"/>
    <n v="50"/>
    <d v="2024-01-14T00:00:00"/>
    <x v="0"/>
  </r>
  <r>
    <n v="15"/>
    <n v="22"/>
    <s v="Female"/>
    <s v="Home"/>
    <n v="300"/>
    <d v="2024-01-15T00:00:00"/>
    <x v="2"/>
  </r>
  <r>
    <n v="16"/>
    <n v="22"/>
    <s v="Male"/>
    <s v="Clothing"/>
    <n v="300"/>
    <d v="2024-01-16T00:00:00"/>
    <x v="2"/>
  </r>
  <r>
    <n v="17"/>
    <n v="25"/>
    <s v="Male"/>
    <s v="Electronics"/>
    <n v="50"/>
    <d v="2024-01-17T00:00:00"/>
    <x v="0"/>
  </r>
  <r>
    <n v="18"/>
    <n v="30"/>
    <s v="Female"/>
    <s v="Clothing"/>
    <n v="75"/>
    <d v="2024-01-18T00:00:00"/>
    <x v="0"/>
  </r>
  <r>
    <n v="19"/>
    <n v="28"/>
    <s v="Female"/>
    <s v="Home"/>
    <n v="200"/>
    <d v="2024-01-19T00:00:00"/>
    <x v="0"/>
  </r>
  <r>
    <n v="20"/>
    <n v="25"/>
    <s v="Female"/>
    <s v="Beauty"/>
    <n v="200"/>
    <d v="2024-01-20T00:00:00"/>
    <x v="0"/>
  </r>
  <r>
    <n v="21"/>
    <n v="30"/>
    <s v="Female"/>
    <s v="Beauty"/>
    <n v="75"/>
    <d v="2024-01-21T00:00:00"/>
    <x v="0"/>
  </r>
  <r>
    <n v="22"/>
    <n v="22"/>
    <s v="Female"/>
    <s v="Beauty"/>
    <n v="75"/>
    <d v="2024-01-22T00:00:00"/>
    <x v="2"/>
  </r>
  <r>
    <n v="23"/>
    <n v="25"/>
    <s v="Male"/>
    <s v="Electronics"/>
    <n v="100"/>
    <d v="2024-01-23T00:00:00"/>
    <x v="0"/>
  </r>
  <r>
    <n v="24"/>
    <n v="28"/>
    <s v="Male"/>
    <s v="Clothing"/>
    <n v="100"/>
    <d v="2024-01-24T00:00:00"/>
    <x v="0"/>
  </r>
  <r>
    <n v="25"/>
    <n v="28"/>
    <s v="Male"/>
    <s v="Electronics"/>
    <n v="150"/>
    <d v="2024-01-25T00:00:00"/>
    <x v="0"/>
  </r>
  <r>
    <n v="26"/>
    <n v="35"/>
    <s v="Male"/>
    <s v="Clothing"/>
    <n v="100"/>
    <d v="2024-01-26T00:00:00"/>
    <x v="1"/>
  </r>
  <r>
    <n v="27"/>
    <n v="22"/>
    <s v="NA"/>
    <s v="Clothing"/>
    <n v="100"/>
    <d v="2024-01-27T00:00:00"/>
    <x v="2"/>
  </r>
  <r>
    <n v="28"/>
    <n v="30"/>
    <s v="Male"/>
    <s v="Beauty"/>
    <n v="200"/>
    <d v="2024-01-28T00:00:00"/>
    <x v="0"/>
  </r>
  <r>
    <n v="29"/>
    <n v="30"/>
    <s v="Female"/>
    <s v="Clothing"/>
    <n v="50"/>
    <d v="2024-01-29T00:00:00"/>
    <x v="0"/>
  </r>
  <r>
    <n v="30"/>
    <n v="18"/>
    <s v="Female"/>
    <s v="Electronics"/>
    <n v="75"/>
    <d v="2024-01-30T00:00:00"/>
    <x v="2"/>
  </r>
  <r>
    <n v="31"/>
    <n v="30"/>
    <s v="Female"/>
    <s v="Electronics"/>
    <n v="200"/>
    <d v="2024-01-31T00:00:00"/>
    <x v="0"/>
  </r>
  <r>
    <n v="32"/>
    <n v="22"/>
    <s v="Female"/>
    <s v="Beauty"/>
    <n v="300"/>
    <d v="2024-02-01T00:00:00"/>
    <x v="2"/>
  </r>
  <r>
    <n v="33"/>
    <n v="18"/>
    <s v="Female"/>
    <s v="Home"/>
    <n v="150"/>
    <d v="2024-02-02T00:00:00"/>
    <x v="2"/>
  </r>
  <r>
    <n v="34"/>
    <n v="45"/>
    <s v="Female"/>
    <s v="Electronics"/>
    <n v="150"/>
    <d v="2024-02-03T00:00:00"/>
    <x v="3"/>
  </r>
  <r>
    <n v="35"/>
    <n v="28"/>
    <s v="Male"/>
    <s v="Electronics"/>
    <n v="50"/>
    <d v="2024-02-04T00:00:00"/>
    <x v="0"/>
  </r>
  <r>
    <n v="36"/>
    <n v="40"/>
    <s v="Female"/>
    <s v="Home"/>
    <n v="100"/>
    <d v="2024-02-05T00:00:00"/>
    <x v="1"/>
  </r>
  <r>
    <n v="37"/>
    <n v="25"/>
    <s v="Male"/>
    <s v="Electronics"/>
    <n v="150"/>
    <d v="2024-02-06T00:00:00"/>
    <x v="0"/>
  </r>
  <r>
    <n v="38"/>
    <n v="22"/>
    <s v="Male"/>
    <s v="Beauty"/>
    <n v="75"/>
    <d v="2024-02-07T00:00:00"/>
    <x v="2"/>
  </r>
  <r>
    <n v="39"/>
    <n v="35"/>
    <s v="Female"/>
    <s v="Home"/>
    <n v="75"/>
    <d v="2024-02-08T00:00:00"/>
    <x v="1"/>
  </r>
  <r>
    <n v="40"/>
    <n v="28"/>
    <s v="Male"/>
    <s v="Electronics"/>
    <n v="100"/>
    <d v="2024-02-09T00:00:00"/>
    <x v="0"/>
  </r>
  <r>
    <n v="41"/>
    <n v="22"/>
    <s v="Female"/>
    <s v="Electronics"/>
    <n v="50"/>
    <d v="2024-02-10T00:00:00"/>
    <x v="2"/>
  </r>
  <r>
    <n v="42"/>
    <n v="28"/>
    <s v="NA"/>
    <s v="NA"/>
    <n v="100"/>
    <d v="2024-02-11T00:00:00"/>
    <x v="0"/>
  </r>
  <r>
    <n v="43"/>
    <n v="18"/>
    <s v="Female"/>
    <s v="Clothing"/>
    <n v="75"/>
    <d v="2024-02-12T00:00:00"/>
    <x v="2"/>
  </r>
  <r>
    <n v="44"/>
    <n v="45"/>
    <s v="Male"/>
    <s v="Clothing"/>
    <n v="100"/>
    <d v="2024-02-13T00:00:00"/>
    <x v="3"/>
  </r>
  <r>
    <n v="45"/>
    <n v="25"/>
    <s v="Male"/>
    <s v="Beauty"/>
    <n v="50"/>
    <d v="2024-02-14T00:00:00"/>
    <x v="0"/>
  </r>
  <r>
    <n v="46"/>
    <n v="35"/>
    <s v="Female"/>
    <s v="Sports"/>
    <n v="300"/>
    <d v="2024-02-15T00:00:00"/>
    <x v="1"/>
  </r>
  <r>
    <n v="47"/>
    <n v="25"/>
    <s v="Male"/>
    <s v="NA"/>
    <n v="150"/>
    <d v="2024-02-16T00:00:00"/>
    <x v="0"/>
  </r>
  <r>
    <n v="48"/>
    <n v="30"/>
    <s v="NA"/>
    <s v="Beauty"/>
    <n v="150"/>
    <d v="2024-02-17T00:00:00"/>
    <x v="0"/>
  </r>
  <r>
    <n v="49"/>
    <n v="30"/>
    <s v="NA"/>
    <s v="Clothing"/>
    <n v="200"/>
    <d v="2024-02-18T00:00:00"/>
    <x v="0"/>
  </r>
  <r>
    <n v="50"/>
    <n v="22"/>
    <s v="Female"/>
    <s v="Electronics"/>
    <n v="100"/>
    <d v="2024-02-19T00:00:00"/>
    <x v="2"/>
  </r>
  <r>
    <n v="51"/>
    <n v="28"/>
    <s v="Male"/>
    <s v="Beauty"/>
    <n v="50"/>
    <d v="2024-02-20T00:00:00"/>
    <x v="0"/>
  </r>
  <r>
    <n v="52"/>
    <n v="35"/>
    <s v="Male"/>
    <s v="Home"/>
    <n v="150"/>
    <d v="2024-02-21T00:00:00"/>
    <x v="1"/>
  </r>
  <r>
    <n v="53"/>
    <n v="45"/>
    <s v="Female"/>
    <s v="Clothing"/>
    <n v="150"/>
    <d v="2024-02-22T00:00:00"/>
    <x v="3"/>
  </r>
  <r>
    <n v="54"/>
    <n v="40"/>
    <s v="Male"/>
    <s v="Sports"/>
    <n v="200"/>
    <d v="2024-02-23T00:00:00"/>
    <x v="1"/>
  </r>
  <r>
    <n v="55"/>
    <n v="30"/>
    <s v="Male"/>
    <s v="Electronics"/>
    <n v="100"/>
    <d v="2024-02-24T00:00:00"/>
    <x v="0"/>
  </r>
  <r>
    <n v="56"/>
    <n v="45"/>
    <s v="Female"/>
    <s v="Clothing"/>
    <n v="50"/>
    <d v="2024-02-25T00:00:00"/>
    <x v="3"/>
  </r>
  <r>
    <n v="57"/>
    <n v="22"/>
    <s v="Female"/>
    <s v="Electronics"/>
    <n v="75"/>
    <d v="2024-02-26T00:00:00"/>
    <x v="2"/>
  </r>
  <r>
    <n v="58"/>
    <n v="22"/>
    <s v="Female"/>
    <s v="Clothing"/>
    <n v="100"/>
    <d v="2024-02-27T00:00:00"/>
    <x v="2"/>
  </r>
  <r>
    <n v="59"/>
    <n v="18"/>
    <s v="Female"/>
    <s v="Electronics"/>
    <n v="150"/>
    <d v="2024-02-28T00:00:00"/>
    <x v="2"/>
  </r>
  <r>
    <n v="60"/>
    <n v="25"/>
    <s v="Male"/>
    <s v="Electronics"/>
    <n v="150"/>
    <d v="2024-02-29T00:00:00"/>
    <x v="0"/>
  </r>
  <r>
    <n v="61"/>
    <n v="28"/>
    <s v="Female"/>
    <s v="Electronics"/>
    <n v="100"/>
    <d v="2024-03-01T00:00:00"/>
    <x v="0"/>
  </r>
  <r>
    <n v="62"/>
    <n v="25"/>
    <s v="NA"/>
    <s v="Home"/>
    <n v="100"/>
    <d v="2024-03-02T00:00:00"/>
    <x v="0"/>
  </r>
  <r>
    <n v="63"/>
    <n v="40"/>
    <s v="Male"/>
    <s v="Home"/>
    <n v="150"/>
    <d v="2024-03-03T00:00:00"/>
    <x v="1"/>
  </r>
  <r>
    <n v="64"/>
    <n v="28"/>
    <s v="Female"/>
    <s v="Home"/>
    <n v="75"/>
    <d v="2024-03-04T00:00:00"/>
    <x v="0"/>
  </r>
  <r>
    <n v="65"/>
    <n v="25"/>
    <s v="Female"/>
    <s v="NA"/>
    <n v="50"/>
    <d v="2024-03-05T00:00:00"/>
    <x v="0"/>
  </r>
  <r>
    <n v="66"/>
    <n v="30"/>
    <s v="Female"/>
    <s v="Clothing"/>
    <n v="75"/>
    <d v="2024-03-06T00:00:00"/>
    <x v="0"/>
  </r>
  <r>
    <n v="67"/>
    <n v="22"/>
    <s v="Female"/>
    <s v="Electronics"/>
    <n v="75"/>
    <d v="2024-03-07T00:00:00"/>
    <x v="2"/>
  </r>
  <r>
    <n v="68"/>
    <n v="40"/>
    <s v="Female"/>
    <s v="Beauty"/>
    <n v="75"/>
    <d v="2024-03-08T00:00:00"/>
    <x v="1"/>
  </r>
  <r>
    <n v="69"/>
    <n v="18"/>
    <s v="Male"/>
    <s v="Electronics"/>
    <n v="75"/>
    <d v="2024-03-09T00:00:00"/>
    <x v="2"/>
  </r>
  <r>
    <n v="70"/>
    <n v="28"/>
    <s v="Male"/>
    <s v="NA"/>
    <n v="75"/>
    <d v="2024-03-10T00:00:00"/>
    <x v="0"/>
  </r>
  <r>
    <n v="71"/>
    <n v="35"/>
    <s v="Female"/>
    <s v="Electronics"/>
    <n v="75"/>
    <d v="2024-03-11T00:00:00"/>
    <x v="1"/>
  </r>
  <r>
    <n v="72"/>
    <n v="22"/>
    <s v="Female"/>
    <s v="NA"/>
    <n v="300"/>
    <d v="2024-03-12T00:00:00"/>
    <x v="2"/>
  </r>
  <r>
    <n v="73"/>
    <n v="18"/>
    <s v="Female"/>
    <s v="Electronics"/>
    <n v="50"/>
    <d v="2024-03-13T00:00:00"/>
    <x v="2"/>
  </r>
  <r>
    <n v="74"/>
    <n v="40"/>
    <s v="Female"/>
    <s v="Beauty"/>
    <n v="150"/>
    <d v="2024-03-14T00:00:00"/>
    <x v="1"/>
  </r>
  <r>
    <n v="75"/>
    <n v="35"/>
    <s v="Female"/>
    <s v="Clothing"/>
    <n v="100"/>
    <d v="2024-03-15T00:00:00"/>
    <x v="1"/>
  </r>
  <r>
    <n v="76"/>
    <n v="35"/>
    <s v="Female"/>
    <s v="NA"/>
    <n v="100"/>
    <d v="2024-03-16T00:00:00"/>
    <x v="1"/>
  </r>
  <r>
    <n v="77"/>
    <n v="35"/>
    <s v="Female"/>
    <s v="Electronics"/>
    <n v="50"/>
    <d v="2024-03-17T00:00:00"/>
    <x v="1"/>
  </r>
  <r>
    <n v="78"/>
    <n v="18"/>
    <s v="Female"/>
    <s v="Home"/>
    <n v="100"/>
    <d v="2024-03-18T00:00:00"/>
    <x v="2"/>
  </r>
  <r>
    <n v="79"/>
    <n v="28"/>
    <s v="Female"/>
    <s v="NA"/>
    <n v="500"/>
    <d v="2024-03-19T00:00:00"/>
    <x v="0"/>
  </r>
  <r>
    <n v="80"/>
    <n v="22"/>
    <s v="Female"/>
    <s v="Clothing"/>
    <n v="300"/>
    <d v="2024-03-20T00:00:00"/>
    <x v="2"/>
  </r>
  <r>
    <n v="81"/>
    <n v="40"/>
    <s v="Female"/>
    <s v="Home"/>
    <n v="200"/>
    <d v="2024-03-21T00:00:00"/>
    <x v="1"/>
  </r>
  <r>
    <n v="82"/>
    <n v="30"/>
    <s v="Male"/>
    <s v="Home"/>
    <n v="75"/>
    <d v="2024-03-22T00:00:00"/>
    <x v="0"/>
  </r>
  <r>
    <n v="83"/>
    <n v="25"/>
    <s v="Male"/>
    <s v="Clothing"/>
    <n v="75"/>
    <d v="2024-03-23T00:00:00"/>
    <x v="0"/>
  </r>
  <r>
    <n v="84"/>
    <n v="18"/>
    <s v="Male"/>
    <s v="Home"/>
    <n v="150"/>
    <d v="2024-03-24T00:00:00"/>
    <x v="2"/>
  </r>
  <r>
    <n v="85"/>
    <n v="25"/>
    <s v="Female"/>
    <s v="Home"/>
    <n v="300"/>
    <d v="2024-03-25T00:00:00"/>
    <x v="0"/>
  </r>
  <r>
    <n v="86"/>
    <n v="25"/>
    <s v="Male"/>
    <s v="Sports"/>
    <n v="150"/>
    <d v="2024-03-26T00:00:00"/>
    <x v="0"/>
  </r>
  <r>
    <n v="87"/>
    <n v="35"/>
    <s v="Male"/>
    <s v="Electronics"/>
    <n v="150"/>
    <d v="2024-03-27T00:00:00"/>
    <x v="1"/>
  </r>
  <r>
    <n v="88"/>
    <n v="30"/>
    <s v="Female"/>
    <s v="Electronics"/>
    <n v="75"/>
    <d v="2024-03-28T00:00:00"/>
    <x v="0"/>
  </r>
  <r>
    <n v="89"/>
    <n v="40"/>
    <s v="Male"/>
    <s v="NA"/>
    <n v="200"/>
    <d v="2024-03-29T00:00:00"/>
    <x v="1"/>
  </r>
  <r>
    <n v="90"/>
    <n v="28"/>
    <s v="Female"/>
    <s v="Beauty"/>
    <n v="75"/>
    <d v="2024-03-30T00:00:00"/>
    <x v="0"/>
  </r>
  <r>
    <n v="91"/>
    <n v="22"/>
    <s v="Male"/>
    <s v="Clothing"/>
    <n v="100"/>
    <d v="2024-03-31T00:00:00"/>
    <x v="2"/>
  </r>
  <r>
    <n v="92"/>
    <n v="35"/>
    <s v="Male"/>
    <s v="Home"/>
    <n v="100"/>
    <d v="2024-04-01T00:00:00"/>
    <x v="1"/>
  </r>
  <r>
    <n v="93"/>
    <n v="35"/>
    <s v="Female"/>
    <s v="Electronics"/>
    <n v="150"/>
    <d v="2024-04-02T00:00:00"/>
    <x v="1"/>
  </r>
  <r>
    <n v="94"/>
    <n v="30"/>
    <s v="Male"/>
    <s v="Electronics"/>
    <n v="75"/>
    <d v="2024-04-03T00:00:00"/>
    <x v="0"/>
  </r>
  <r>
    <n v="95"/>
    <n v="35"/>
    <s v="Male"/>
    <s v="Clothing"/>
    <n v="50"/>
    <d v="2024-04-04T00:00:00"/>
    <x v="1"/>
  </r>
  <r>
    <n v="96"/>
    <n v="28"/>
    <s v="Female"/>
    <s v="Clothing"/>
    <n v="150"/>
    <d v="2024-04-05T00:00:00"/>
    <x v="0"/>
  </r>
  <r>
    <n v="97"/>
    <n v="30"/>
    <s v="Female"/>
    <s v="Home"/>
    <n v="75"/>
    <d v="2024-04-06T00:00:00"/>
    <x v="0"/>
  </r>
  <r>
    <n v="98"/>
    <n v="28"/>
    <s v="Male"/>
    <s v="Electronics"/>
    <n v="150"/>
    <d v="2024-04-07T00:00:00"/>
    <x v="0"/>
  </r>
  <r>
    <n v="99"/>
    <n v="18"/>
    <s v="Female"/>
    <s v="NA"/>
    <n v="75"/>
    <d v="2024-04-08T00:00:00"/>
    <x v="2"/>
  </r>
  <r>
    <n v="100"/>
    <n v="22"/>
    <s v="Male"/>
    <s v="NA"/>
    <n v="100"/>
    <d v="2024-04-09T00:00:00"/>
    <x v="2"/>
  </r>
  <r>
    <n v="101"/>
    <n v="18"/>
    <s v="Male"/>
    <s v="Home"/>
    <n v="150"/>
    <d v="2024-04-10T00:00:00"/>
    <x v="2"/>
  </r>
  <r>
    <n v="102"/>
    <n v="30"/>
    <s v="Female"/>
    <s v="Clothing"/>
    <n v="50"/>
    <d v="2024-04-11T00:00:00"/>
    <x v="0"/>
  </r>
  <r>
    <n v="103"/>
    <n v="25"/>
    <s v="Female"/>
    <s v="Clothing"/>
    <n v="100"/>
    <d v="2024-04-12T00:00:00"/>
    <x v="0"/>
  </r>
  <r>
    <n v="104"/>
    <n v="30"/>
    <s v="Female"/>
    <s v="Beauty"/>
    <n v="50"/>
    <d v="2024-04-13T00:00:00"/>
    <x v="0"/>
  </r>
  <r>
    <n v="105"/>
    <n v="45"/>
    <s v="Female"/>
    <s v="Home"/>
    <n v="50"/>
    <d v="2024-04-14T00:00:00"/>
    <x v="3"/>
  </r>
  <r>
    <n v="106"/>
    <n v="25"/>
    <s v="NA"/>
    <s v="Electronics"/>
    <n v="100"/>
    <d v="2024-04-15T00:00:00"/>
    <x v="0"/>
  </r>
  <r>
    <n v="107"/>
    <n v="28"/>
    <s v="Female"/>
    <s v="Sports"/>
    <n v="100"/>
    <d v="2024-04-16T00:00:00"/>
    <x v="0"/>
  </r>
  <r>
    <n v="108"/>
    <n v="35"/>
    <s v="Male"/>
    <s v="Beauty"/>
    <n v="200"/>
    <d v="2024-04-17T00:00:00"/>
    <x v="1"/>
  </r>
  <r>
    <n v="109"/>
    <n v="25"/>
    <s v="Female"/>
    <s v="Sports"/>
    <n v="75"/>
    <d v="2024-04-18T00:00:00"/>
    <x v="0"/>
  </r>
  <r>
    <n v="110"/>
    <n v="18"/>
    <s v="Male"/>
    <s v="Home"/>
    <n v="150"/>
    <d v="2024-04-19T00:00:00"/>
    <x v="2"/>
  </r>
  <r>
    <n v="111"/>
    <n v="25"/>
    <s v="Male"/>
    <s v="Home"/>
    <n v="200"/>
    <d v="2024-04-20T00:00:00"/>
    <x v="0"/>
  </r>
  <r>
    <n v="112"/>
    <n v="22"/>
    <s v="Male"/>
    <s v="Clothing"/>
    <n v="150"/>
    <d v="2024-04-21T00:00:00"/>
    <x v="2"/>
  </r>
  <r>
    <n v="113"/>
    <n v="45"/>
    <s v="Male"/>
    <s v="Sports"/>
    <n v="100"/>
    <d v="2024-04-22T00:00:00"/>
    <x v="3"/>
  </r>
  <r>
    <n v="114"/>
    <n v="40"/>
    <s v="NA"/>
    <s v="Beauty"/>
    <n v="100"/>
    <d v="2024-04-23T00:00:00"/>
    <x v="1"/>
  </r>
  <r>
    <n v="115"/>
    <n v="30"/>
    <s v="Female"/>
    <s v="Electronics"/>
    <n v="100"/>
    <d v="2024-04-24T00:00:00"/>
    <x v="0"/>
  </r>
  <r>
    <n v="116"/>
    <n v="40"/>
    <s v="Female"/>
    <s v="Electronics"/>
    <n v="300"/>
    <d v="2024-04-25T00:00:00"/>
    <x v="1"/>
  </r>
  <r>
    <n v="117"/>
    <n v="40"/>
    <s v="Male"/>
    <s v="Clothing"/>
    <n v="200"/>
    <d v="2024-04-26T00:00:00"/>
    <x v="1"/>
  </r>
  <r>
    <n v="118"/>
    <n v="22"/>
    <s v="Male"/>
    <s v="Beauty"/>
    <n v="500"/>
    <d v="2024-04-27T00:00:00"/>
    <x v="2"/>
  </r>
  <r>
    <n v="119"/>
    <n v="40"/>
    <s v="Male"/>
    <s v="NA"/>
    <n v="50"/>
    <d v="2024-04-28T00:00:00"/>
    <x v="1"/>
  </r>
  <r>
    <n v="120"/>
    <n v="30"/>
    <s v="Male"/>
    <s v="Electronics"/>
    <n v="200"/>
    <d v="2024-04-29T00:00:00"/>
    <x v="0"/>
  </r>
  <r>
    <n v="121"/>
    <n v="40"/>
    <s v="Female"/>
    <s v="Home"/>
    <n v="300"/>
    <d v="2024-04-30T00:00:00"/>
    <x v="1"/>
  </r>
  <r>
    <n v="122"/>
    <n v="40"/>
    <s v="Female"/>
    <s v="Clothing"/>
    <n v="75"/>
    <d v="2024-05-01T00:00:00"/>
    <x v="1"/>
  </r>
  <r>
    <n v="123"/>
    <n v="25"/>
    <s v="Female"/>
    <s v="NA"/>
    <n v="50"/>
    <d v="2024-05-02T00:00:00"/>
    <x v="0"/>
  </r>
  <r>
    <n v="124"/>
    <n v="22"/>
    <s v="Male"/>
    <s v="Beauty"/>
    <n v="200"/>
    <d v="2024-05-03T00:00:00"/>
    <x v="2"/>
  </r>
  <r>
    <n v="125"/>
    <n v="25"/>
    <s v="NA"/>
    <s v="Beauty"/>
    <n v="150"/>
    <d v="2024-05-04T00:00:00"/>
    <x v="0"/>
  </r>
  <r>
    <n v="126"/>
    <n v="28"/>
    <s v="Female"/>
    <s v="Clothing"/>
    <n v="200"/>
    <d v="2024-05-05T00:00:00"/>
    <x v="0"/>
  </r>
  <r>
    <n v="127"/>
    <n v="40"/>
    <s v="Female"/>
    <s v="Clothing"/>
    <n v="50"/>
    <d v="2024-05-06T00:00:00"/>
    <x v="1"/>
  </r>
  <r>
    <n v="128"/>
    <n v="40"/>
    <s v="Female"/>
    <s v="Electronics"/>
    <n v="200"/>
    <d v="2024-05-07T00:00:00"/>
    <x v="1"/>
  </r>
  <r>
    <n v="129"/>
    <n v="18"/>
    <s v="Male"/>
    <s v="Electronics"/>
    <n v="75"/>
    <d v="2024-05-08T00:00:00"/>
    <x v="2"/>
  </r>
  <r>
    <n v="130"/>
    <n v="30"/>
    <s v="Male"/>
    <s v="Beauty"/>
    <n v="75"/>
    <d v="2024-05-09T00:00:00"/>
    <x v="0"/>
  </r>
  <r>
    <n v="131"/>
    <n v="28"/>
    <s v="Male"/>
    <s v="Beauty"/>
    <n v="75"/>
    <d v="2024-05-10T00:00:00"/>
    <x v="0"/>
  </r>
  <r>
    <n v="132"/>
    <n v="25"/>
    <s v="Female"/>
    <s v="NA"/>
    <n v="200"/>
    <d v="2024-05-11T00:00:00"/>
    <x v="0"/>
  </r>
  <r>
    <n v="133"/>
    <n v="22"/>
    <s v="Male"/>
    <s v="NA"/>
    <n v="150"/>
    <d v="2024-05-12T00:00:00"/>
    <x v="2"/>
  </r>
  <r>
    <n v="134"/>
    <n v="25"/>
    <s v="Male"/>
    <s v="Home"/>
    <n v="150"/>
    <d v="2024-05-13T00:00:00"/>
    <x v="0"/>
  </r>
  <r>
    <n v="135"/>
    <n v="45"/>
    <s v="Male"/>
    <s v="Beauty"/>
    <n v="100"/>
    <d v="2024-05-14T00:00:00"/>
    <x v="3"/>
  </r>
  <r>
    <n v="136"/>
    <n v="25"/>
    <s v="Male"/>
    <s v="Sports"/>
    <n v="300"/>
    <d v="2024-05-15T00:00:00"/>
    <x v="0"/>
  </r>
  <r>
    <n v="137"/>
    <n v="30"/>
    <s v="Female"/>
    <s v="Beauty"/>
    <n v="100"/>
    <d v="2024-05-16T00:00:00"/>
    <x v="0"/>
  </r>
  <r>
    <n v="138"/>
    <n v="35"/>
    <s v="Female"/>
    <s v="Electronics"/>
    <n v="200"/>
    <d v="2024-05-17T00:00:00"/>
    <x v="1"/>
  </r>
  <r>
    <n v="139"/>
    <n v="28"/>
    <s v="Female"/>
    <s v="Clothing"/>
    <n v="100"/>
    <d v="2024-05-18T00:00:00"/>
    <x v="0"/>
  </r>
  <r>
    <n v="140"/>
    <n v="28"/>
    <s v="Male"/>
    <s v="Electronics"/>
    <n v="100"/>
    <d v="2024-05-19T00:00:00"/>
    <x v="0"/>
  </r>
  <r>
    <n v="141"/>
    <n v="28"/>
    <s v="Female"/>
    <s v="NA"/>
    <n v="100"/>
    <d v="2024-05-20T00:00:00"/>
    <x v="0"/>
  </r>
  <r>
    <n v="142"/>
    <n v="25"/>
    <s v="Female"/>
    <s v="Home"/>
    <n v="100"/>
    <d v="2024-05-21T00:00:00"/>
    <x v="0"/>
  </r>
  <r>
    <n v="143"/>
    <n v="28"/>
    <s v="Male"/>
    <s v="Electronics"/>
    <n v="200"/>
    <d v="2024-05-22T00:00:00"/>
    <x v="0"/>
  </r>
  <r>
    <n v="144"/>
    <n v="25"/>
    <s v="Male"/>
    <s v="Home"/>
    <n v="150"/>
    <d v="2024-05-23T00:00:00"/>
    <x v="0"/>
  </r>
  <r>
    <n v="145"/>
    <n v="25"/>
    <s v="Male"/>
    <s v="Home"/>
    <n v="75"/>
    <d v="2024-05-24T00:00:00"/>
    <x v="0"/>
  </r>
  <r>
    <n v="146"/>
    <n v="18"/>
    <s v="Female"/>
    <s v="Clothing"/>
    <n v="300"/>
    <d v="2024-05-25T00:00:00"/>
    <x v="2"/>
  </r>
  <r>
    <n v="147"/>
    <n v="30"/>
    <s v="Female"/>
    <s v="Electronics"/>
    <n v="100"/>
    <d v="2024-05-26T00:00:00"/>
    <x v="0"/>
  </r>
  <r>
    <n v="148"/>
    <n v="30"/>
    <s v="Male"/>
    <s v="Home"/>
    <n v="150"/>
    <d v="2024-05-27T00:00:00"/>
    <x v="0"/>
  </r>
  <r>
    <n v="149"/>
    <n v="18"/>
    <s v="Male"/>
    <s v="Clothing"/>
    <n v="300"/>
    <d v="2024-05-28T00:00:00"/>
    <x v="2"/>
  </r>
  <r>
    <n v="150"/>
    <n v="25"/>
    <s v="Female"/>
    <s v="Beauty"/>
    <n v="150"/>
    <d v="2024-05-29T00:00:00"/>
    <x v="0"/>
  </r>
  <r>
    <n v="151"/>
    <n v="45"/>
    <s v="Female"/>
    <s v="Clothing"/>
    <n v="50"/>
    <d v="2024-05-30T00:00:00"/>
    <x v="3"/>
  </r>
  <r>
    <n v="152"/>
    <n v="25"/>
    <s v="Female"/>
    <s v="Beauty"/>
    <n v="300"/>
    <d v="2024-05-31T00:00:00"/>
    <x v="0"/>
  </r>
  <r>
    <n v="153"/>
    <n v="22"/>
    <s v="Female"/>
    <s v="Home"/>
    <n v="150"/>
    <d v="2024-06-01T00:00:00"/>
    <x v="2"/>
  </r>
  <r>
    <n v="154"/>
    <n v="28"/>
    <s v="Male"/>
    <s v="Home"/>
    <n v="100"/>
    <d v="2024-06-02T00:00:00"/>
    <x v="0"/>
  </r>
  <r>
    <n v="155"/>
    <n v="28"/>
    <s v="Male"/>
    <s v="Beauty"/>
    <n v="50"/>
    <d v="2024-06-03T00:00:00"/>
    <x v="0"/>
  </r>
  <r>
    <n v="156"/>
    <n v="25"/>
    <s v="Female"/>
    <s v="Clothing"/>
    <n v="200"/>
    <d v="2024-06-04T00:00:00"/>
    <x v="0"/>
  </r>
  <r>
    <n v="157"/>
    <n v="35"/>
    <s v="Male"/>
    <s v="Electronics"/>
    <n v="150"/>
    <d v="2024-06-05T00:00:00"/>
    <x v="1"/>
  </r>
  <r>
    <n v="158"/>
    <n v="35"/>
    <s v="Female"/>
    <s v="Electronics"/>
    <n v="150"/>
    <d v="2024-06-06T00:00:00"/>
    <x v="1"/>
  </r>
  <r>
    <n v="159"/>
    <n v="25"/>
    <s v="Female"/>
    <s v="Beauty"/>
    <n v="300"/>
    <d v="2024-06-07T00:00:00"/>
    <x v="0"/>
  </r>
  <r>
    <n v="160"/>
    <n v="35"/>
    <s v="Female"/>
    <s v="Home"/>
    <n v="200"/>
    <d v="2024-06-08T00:00:00"/>
    <x v="1"/>
  </r>
  <r>
    <n v="161"/>
    <n v="28"/>
    <s v="Male"/>
    <s v="Home"/>
    <n v="75"/>
    <d v="2024-06-09T00:00:00"/>
    <x v="0"/>
  </r>
  <r>
    <n v="162"/>
    <n v="30"/>
    <s v="Female"/>
    <s v="Electronics"/>
    <n v="100"/>
    <d v="2024-06-10T00:00:00"/>
    <x v="0"/>
  </r>
  <r>
    <n v="163"/>
    <n v="30"/>
    <s v="Male"/>
    <s v="Electronics"/>
    <n v="75"/>
    <d v="2024-06-11T00:00:00"/>
    <x v="0"/>
  </r>
  <r>
    <n v="164"/>
    <n v="30"/>
    <s v="Female"/>
    <s v="Electronics"/>
    <n v="200"/>
    <d v="2024-06-12T00:00:00"/>
    <x v="0"/>
  </r>
  <r>
    <n v="165"/>
    <n v="22"/>
    <s v="Female"/>
    <s v="Clothing"/>
    <n v="50"/>
    <d v="2024-06-13T00:00:00"/>
    <x v="2"/>
  </r>
  <r>
    <n v="166"/>
    <n v="40"/>
    <s v="Male"/>
    <s v="Home"/>
    <n v="150"/>
    <d v="2024-06-14T00:00:00"/>
    <x v="1"/>
  </r>
  <r>
    <n v="167"/>
    <n v="25"/>
    <s v="NA"/>
    <s v="Clothing"/>
    <n v="200"/>
    <d v="2024-06-15T00:00:00"/>
    <x v="0"/>
  </r>
  <r>
    <n v="168"/>
    <n v="22"/>
    <s v="Female"/>
    <s v="Clothing"/>
    <n v="300"/>
    <d v="2024-06-16T00:00:00"/>
    <x v="2"/>
  </r>
  <r>
    <n v="169"/>
    <n v="18"/>
    <s v="Male"/>
    <s v="Sports"/>
    <n v="100"/>
    <d v="2024-06-17T00:00:00"/>
    <x v="2"/>
  </r>
  <r>
    <n v="170"/>
    <n v="30"/>
    <s v="Male"/>
    <s v="Clothing"/>
    <n v="200"/>
    <d v="2024-06-18T00:00:00"/>
    <x v="0"/>
  </r>
  <r>
    <n v="171"/>
    <n v="35"/>
    <s v="Male"/>
    <s v="Clothing"/>
    <n v="50"/>
    <d v="2024-06-19T00:00:00"/>
    <x v="1"/>
  </r>
  <r>
    <n v="172"/>
    <n v="18"/>
    <s v="Male"/>
    <s v="Beauty"/>
    <n v="200"/>
    <d v="2024-06-20T00:00:00"/>
    <x v="2"/>
  </r>
  <r>
    <n v="173"/>
    <n v="30"/>
    <s v="Male"/>
    <s v="Clothing"/>
    <n v="50"/>
    <d v="2024-06-21T00:00:00"/>
    <x v="0"/>
  </r>
  <r>
    <n v="174"/>
    <n v="25"/>
    <s v="Female"/>
    <s v="Home"/>
    <n v="100"/>
    <d v="2024-06-22T00:00:00"/>
    <x v="0"/>
  </r>
  <r>
    <n v="175"/>
    <n v="30"/>
    <s v="Male"/>
    <s v="Beauty"/>
    <n v="200"/>
    <d v="2024-06-23T00:00:00"/>
    <x v="0"/>
  </r>
  <r>
    <n v="176"/>
    <n v="22"/>
    <s v="Male"/>
    <s v="Sports"/>
    <n v="50"/>
    <d v="2024-06-24T00:00:00"/>
    <x v="2"/>
  </r>
  <r>
    <n v="177"/>
    <n v="35"/>
    <s v="Female"/>
    <s v="Electronics"/>
    <n v="75"/>
    <d v="2024-06-25T00:00:00"/>
    <x v="1"/>
  </r>
  <r>
    <n v="178"/>
    <n v="28"/>
    <s v="Male"/>
    <s v="Sports"/>
    <n v="200"/>
    <d v="2024-06-26T00:00:00"/>
    <x v="0"/>
  </r>
  <r>
    <n v="179"/>
    <n v="45"/>
    <s v="Female"/>
    <s v="Clothing"/>
    <n v="200"/>
    <d v="2024-06-27T00:00:00"/>
    <x v="3"/>
  </r>
  <r>
    <n v="180"/>
    <n v="22"/>
    <s v="Male"/>
    <s v="Electronics"/>
    <n v="150"/>
    <d v="2024-06-28T00:00:00"/>
    <x v="2"/>
  </r>
  <r>
    <n v="181"/>
    <n v="25"/>
    <s v="Male"/>
    <s v="Clothing"/>
    <n v="150"/>
    <d v="2024-06-29T00:00:00"/>
    <x v="0"/>
  </r>
  <r>
    <n v="182"/>
    <n v="22"/>
    <s v="Female"/>
    <s v="NA"/>
    <n v="150"/>
    <d v="2024-06-30T00:00:00"/>
    <x v="2"/>
  </r>
  <r>
    <n v="183"/>
    <n v="45"/>
    <s v="Female"/>
    <s v="Clothing"/>
    <n v="75"/>
    <d v="2024-07-01T00:00:00"/>
    <x v="3"/>
  </r>
  <r>
    <n v="184"/>
    <n v="40"/>
    <s v="Female"/>
    <s v="Clothing"/>
    <n v="100"/>
    <d v="2024-07-02T00:00:00"/>
    <x v="1"/>
  </r>
  <r>
    <n v="185"/>
    <n v="25"/>
    <s v="Female"/>
    <s v="Home"/>
    <n v="75"/>
    <d v="2024-07-03T00:00:00"/>
    <x v="0"/>
  </r>
  <r>
    <n v="186"/>
    <n v="35"/>
    <s v="Female"/>
    <s v="Electronics"/>
    <n v="300"/>
    <d v="2024-07-04T00:00:00"/>
    <x v="1"/>
  </r>
  <r>
    <n v="187"/>
    <n v="40"/>
    <s v="Male"/>
    <s v="Electronics"/>
    <n v="150"/>
    <d v="2024-07-05T00:00:00"/>
    <x v="1"/>
  </r>
  <r>
    <n v="188"/>
    <n v="30"/>
    <s v="Male"/>
    <s v="Electronics"/>
    <n v="100"/>
    <d v="2024-07-06T00:00:00"/>
    <x v="0"/>
  </r>
  <r>
    <n v="189"/>
    <n v="30"/>
    <s v="Female"/>
    <s v="Electronics"/>
    <n v="100"/>
    <d v="2024-07-07T00:00:00"/>
    <x v="0"/>
  </r>
  <r>
    <n v="190"/>
    <n v="25"/>
    <s v="Female"/>
    <s v="Electronics"/>
    <n v="300"/>
    <d v="2024-07-08T00:00:00"/>
    <x v="0"/>
  </r>
  <r>
    <n v="191"/>
    <n v="22"/>
    <s v="NA"/>
    <s v="Electronics"/>
    <n v="75"/>
    <d v="2024-07-09T00:00:00"/>
    <x v="2"/>
  </r>
  <r>
    <n v="192"/>
    <n v="40"/>
    <s v="Male"/>
    <s v="Home"/>
    <n v="150"/>
    <d v="2024-07-10T00:00:00"/>
    <x v="1"/>
  </r>
  <r>
    <n v="193"/>
    <n v="45"/>
    <s v="Male"/>
    <s v="Electronics"/>
    <n v="150"/>
    <d v="2024-07-11T00:00:00"/>
    <x v="3"/>
  </r>
  <r>
    <n v="194"/>
    <n v="30"/>
    <s v="Female"/>
    <s v="Clothing"/>
    <n v="150"/>
    <d v="2024-07-12T00:00:00"/>
    <x v="0"/>
  </r>
  <r>
    <n v="195"/>
    <n v="25"/>
    <s v="Male"/>
    <s v="Beauty"/>
    <n v="50"/>
    <d v="2024-07-13T00:00:00"/>
    <x v="0"/>
  </r>
  <r>
    <n v="196"/>
    <n v="25"/>
    <s v="Female"/>
    <s v="Clothing"/>
    <n v="300"/>
    <d v="2024-07-14T00:00:00"/>
    <x v="0"/>
  </r>
  <r>
    <n v="197"/>
    <n v="35"/>
    <s v="Female"/>
    <s v="Home"/>
    <n v="300"/>
    <d v="2024-07-15T00:00:00"/>
    <x v="1"/>
  </r>
  <r>
    <n v="198"/>
    <n v="40"/>
    <s v="Male"/>
    <s v="Electronics"/>
    <n v="150"/>
    <d v="2024-07-16T00:00:00"/>
    <x v="1"/>
  </r>
  <r>
    <n v="199"/>
    <n v="40"/>
    <s v="Female"/>
    <s v="Electronics"/>
    <n v="150"/>
    <d v="2024-07-17T00:00:00"/>
    <x v="1"/>
  </r>
  <r>
    <n v="200"/>
    <n v="35"/>
    <s v="Female"/>
    <s v="Electronics"/>
    <n v="300"/>
    <d v="2024-07-18T00:00:0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x v="0"/>
    <n v="75"/>
    <x v="0"/>
    <x v="0"/>
    <x v="0"/>
  </r>
  <r>
    <n v="2"/>
    <x v="0"/>
    <x v="1"/>
    <x v="1"/>
    <n v="75"/>
    <x v="1"/>
    <x v="0"/>
    <x v="0"/>
  </r>
  <r>
    <n v="3"/>
    <x v="1"/>
    <x v="1"/>
    <x v="2"/>
    <n v="75"/>
    <x v="2"/>
    <x v="1"/>
    <x v="0"/>
  </r>
  <r>
    <n v="4"/>
    <x v="2"/>
    <x v="0"/>
    <x v="3"/>
    <n v="50"/>
    <x v="3"/>
    <x v="0"/>
    <x v="0"/>
  </r>
  <r>
    <n v="5"/>
    <x v="3"/>
    <x v="0"/>
    <x v="2"/>
    <n v="50"/>
    <x v="4"/>
    <x v="2"/>
    <x v="0"/>
  </r>
  <r>
    <n v="6"/>
    <x v="3"/>
    <x v="1"/>
    <x v="3"/>
    <n v="100"/>
    <x v="5"/>
    <x v="2"/>
    <x v="1"/>
  </r>
  <r>
    <n v="7"/>
    <x v="4"/>
    <x v="1"/>
    <x v="2"/>
    <n v="75"/>
    <x v="6"/>
    <x v="2"/>
    <x v="0"/>
  </r>
  <r>
    <n v="8"/>
    <x v="5"/>
    <x v="0"/>
    <x v="0"/>
    <n v="100"/>
    <x v="7"/>
    <x v="1"/>
    <x v="1"/>
  </r>
  <r>
    <n v="9"/>
    <x v="2"/>
    <x v="1"/>
    <x v="1"/>
    <n v="150"/>
    <x v="8"/>
    <x v="0"/>
    <x v="1"/>
  </r>
  <r>
    <n v="10"/>
    <x v="1"/>
    <x v="1"/>
    <x v="0"/>
    <n v="150"/>
    <x v="9"/>
    <x v="1"/>
    <x v="1"/>
  </r>
  <r>
    <n v="11"/>
    <x v="4"/>
    <x v="0"/>
    <x v="2"/>
    <n v="50"/>
    <x v="10"/>
    <x v="2"/>
    <x v="0"/>
  </r>
  <r>
    <n v="12"/>
    <x v="0"/>
    <x v="0"/>
    <x v="4"/>
    <n v="200"/>
    <x v="11"/>
    <x v="0"/>
    <x v="1"/>
  </r>
  <r>
    <n v="13"/>
    <x v="5"/>
    <x v="0"/>
    <x v="4"/>
    <n v="150"/>
    <x v="12"/>
    <x v="1"/>
    <x v="1"/>
  </r>
  <r>
    <n v="14"/>
    <x v="6"/>
    <x v="1"/>
    <x v="5"/>
    <n v="50"/>
    <x v="13"/>
    <x v="0"/>
    <x v="0"/>
  </r>
  <r>
    <n v="15"/>
    <x v="3"/>
    <x v="0"/>
    <x v="5"/>
    <n v="300"/>
    <x v="14"/>
    <x v="2"/>
    <x v="2"/>
  </r>
  <r>
    <n v="16"/>
    <x v="3"/>
    <x v="1"/>
    <x v="2"/>
    <n v="300"/>
    <x v="15"/>
    <x v="2"/>
    <x v="2"/>
  </r>
  <r>
    <n v="17"/>
    <x v="6"/>
    <x v="1"/>
    <x v="0"/>
    <n v="50"/>
    <x v="16"/>
    <x v="0"/>
    <x v="0"/>
  </r>
  <r>
    <n v="18"/>
    <x v="2"/>
    <x v="0"/>
    <x v="2"/>
    <n v="75"/>
    <x v="17"/>
    <x v="0"/>
    <x v="0"/>
  </r>
  <r>
    <n v="19"/>
    <x v="0"/>
    <x v="0"/>
    <x v="5"/>
    <n v="200"/>
    <x v="18"/>
    <x v="0"/>
    <x v="1"/>
  </r>
  <r>
    <n v="20"/>
    <x v="6"/>
    <x v="0"/>
    <x v="3"/>
    <n v="200"/>
    <x v="19"/>
    <x v="0"/>
    <x v="1"/>
  </r>
  <r>
    <n v="21"/>
    <x v="2"/>
    <x v="0"/>
    <x v="3"/>
    <n v="75"/>
    <x v="20"/>
    <x v="0"/>
    <x v="0"/>
  </r>
  <r>
    <n v="22"/>
    <x v="3"/>
    <x v="0"/>
    <x v="3"/>
    <n v="75"/>
    <x v="21"/>
    <x v="2"/>
    <x v="0"/>
  </r>
  <r>
    <n v="23"/>
    <x v="6"/>
    <x v="1"/>
    <x v="0"/>
    <n v="100"/>
    <x v="22"/>
    <x v="0"/>
    <x v="1"/>
  </r>
  <r>
    <n v="24"/>
    <x v="0"/>
    <x v="1"/>
    <x v="2"/>
    <n v="100"/>
    <x v="23"/>
    <x v="0"/>
    <x v="1"/>
  </r>
  <r>
    <n v="25"/>
    <x v="0"/>
    <x v="1"/>
    <x v="0"/>
    <n v="150"/>
    <x v="24"/>
    <x v="0"/>
    <x v="1"/>
  </r>
  <r>
    <n v="26"/>
    <x v="1"/>
    <x v="1"/>
    <x v="2"/>
    <n v="100"/>
    <x v="25"/>
    <x v="1"/>
    <x v="1"/>
  </r>
  <r>
    <n v="27"/>
    <x v="3"/>
    <x v="2"/>
    <x v="2"/>
    <n v="100"/>
    <x v="26"/>
    <x v="2"/>
    <x v="1"/>
  </r>
  <r>
    <n v="28"/>
    <x v="2"/>
    <x v="1"/>
    <x v="3"/>
    <n v="200"/>
    <x v="27"/>
    <x v="0"/>
    <x v="1"/>
  </r>
  <r>
    <n v="29"/>
    <x v="2"/>
    <x v="0"/>
    <x v="2"/>
    <n v="50"/>
    <x v="28"/>
    <x v="0"/>
    <x v="0"/>
  </r>
  <r>
    <n v="30"/>
    <x v="4"/>
    <x v="0"/>
    <x v="0"/>
    <n v="75"/>
    <x v="29"/>
    <x v="2"/>
    <x v="0"/>
  </r>
  <r>
    <n v="31"/>
    <x v="2"/>
    <x v="0"/>
    <x v="0"/>
    <n v="200"/>
    <x v="30"/>
    <x v="0"/>
    <x v="1"/>
  </r>
  <r>
    <n v="32"/>
    <x v="3"/>
    <x v="0"/>
    <x v="3"/>
    <n v="300"/>
    <x v="31"/>
    <x v="2"/>
    <x v="2"/>
  </r>
  <r>
    <n v="33"/>
    <x v="4"/>
    <x v="0"/>
    <x v="5"/>
    <n v="150"/>
    <x v="32"/>
    <x v="2"/>
    <x v="1"/>
  </r>
  <r>
    <n v="34"/>
    <x v="7"/>
    <x v="0"/>
    <x v="0"/>
    <n v="150"/>
    <x v="33"/>
    <x v="3"/>
    <x v="1"/>
  </r>
  <r>
    <n v="35"/>
    <x v="0"/>
    <x v="1"/>
    <x v="0"/>
    <n v="50"/>
    <x v="34"/>
    <x v="0"/>
    <x v="0"/>
  </r>
  <r>
    <n v="36"/>
    <x v="5"/>
    <x v="0"/>
    <x v="5"/>
    <n v="100"/>
    <x v="35"/>
    <x v="1"/>
    <x v="1"/>
  </r>
  <r>
    <n v="37"/>
    <x v="6"/>
    <x v="1"/>
    <x v="0"/>
    <n v="150"/>
    <x v="36"/>
    <x v="0"/>
    <x v="1"/>
  </r>
  <r>
    <n v="38"/>
    <x v="3"/>
    <x v="1"/>
    <x v="3"/>
    <n v="75"/>
    <x v="37"/>
    <x v="2"/>
    <x v="0"/>
  </r>
  <r>
    <n v="39"/>
    <x v="1"/>
    <x v="0"/>
    <x v="5"/>
    <n v="75"/>
    <x v="38"/>
    <x v="1"/>
    <x v="0"/>
  </r>
  <r>
    <n v="40"/>
    <x v="0"/>
    <x v="1"/>
    <x v="0"/>
    <n v="100"/>
    <x v="39"/>
    <x v="0"/>
    <x v="1"/>
  </r>
  <r>
    <n v="41"/>
    <x v="3"/>
    <x v="0"/>
    <x v="0"/>
    <n v="50"/>
    <x v="40"/>
    <x v="2"/>
    <x v="0"/>
  </r>
  <r>
    <n v="42"/>
    <x v="0"/>
    <x v="2"/>
    <x v="4"/>
    <n v="100"/>
    <x v="41"/>
    <x v="0"/>
    <x v="1"/>
  </r>
  <r>
    <n v="43"/>
    <x v="4"/>
    <x v="0"/>
    <x v="2"/>
    <n v="75"/>
    <x v="42"/>
    <x v="2"/>
    <x v="0"/>
  </r>
  <r>
    <n v="44"/>
    <x v="7"/>
    <x v="1"/>
    <x v="2"/>
    <n v="100"/>
    <x v="43"/>
    <x v="3"/>
    <x v="1"/>
  </r>
  <r>
    <n v="45"/>
    <x v="6"/>
    <x v="1"/>
    <x v="3"/>
    <n v="50"/>
    <x v="44"/>
    <x v="0"/>
    <x v="0"/>
  </r>
  <r>
    <n v="46"/>
    <x v="1"/>
    <x v="0"/>
    <x v="1"/>
    <n v="300"/>
    <x v="45"/>
    <x v="1"/>
    <x v="2"/>
  </r>
  <r>
    <n v="47"/>
    <x v="6"/>
    <x v="1"/>
    <x v="4"/>
    <n v="150"/>
    <x v="46"/>
    <x v="0"/>
    <x v="1"/>
  </r>
  <r>
    <n v="48"/>
    <x v="2"/>
    <x v="2"/>
    <x v="3"/>
    <n v="150"/>
    <x v="47"/>
    <x v="0"/>
    <x v="1"/>
  </r>
  <r>
    <n v="49"/>
    <x v="2"/>
    <x v="2"/>
    <x v="2"/>
    <n v="200"/>
    <x v="48"/>
    <x v="0"/>
    <x v="1"/>
  </r>
  <r>
    <n v="50"/>
    <x v="3"/>
    <x v="0"/>
    <x v="0"/>
    <n v="100"/>
    <x v="49"/>
    <x v="2"/>
    <x v="1"/>
  </r>
  <r>
    <n v="51"/>
    <x v="0"/>
    <x v="1"/>
    <x v="3"/>
    <n v="50"/>
    <x v="50"/>
    <x v="0"/>
    <x v="0"/>
  </r>
  <r>
    <n v="52"/>
    <x v="1"/>
    <x v="1"/>
    <x v="5"/>
    <n v="150"/>
    <x v="51"/>
    <x v="1"/>
    <x v="1"/>
  </r>
  <r>
    <n v="53"/>
    <x v="7"/>
    <x v="0"/>
    <x v="2"/>
    <n v="150"/>
    <x v="52"/>
    <x v="3"/>
    <x v="1"/>
  </r>
  <r>
    <n v="54"/>
    <x v="5"/>
    <x v="1"/>
    <x v="1"/>
    <n v="200"/>
    <x v="53"/>
    <x v="1"/>
    <x v="1"/>
  </r>
  <r>
    <n v="55"/>
    <x v="2"/>
    <x v="1"/>
    <x v="0"/>
    <n v="100"/>
    <x v="54"/>
    <x v="0"/>
    <x v="1"/>
  </r>
  <r>
    <n v="56"/>
    <x v="7"/>
    <x v="0"/>
    <x v="2"/>
    <n v="50"/>
    <x v="55"/>
    <x v="3"/>
    <x v="0"/>
  </r>
  <r>
    <n v="57"/>
    <x v="3"/>
    <x v="0"/>
    <x v="0"/>
    <n v="75"/>
    <x v="56"/>
    <x v="2"/>
    <x v="0"/>
  </r>
  <r>
    <n v="58"/>
    <x v="3"/>
    <x v="0"/>
    <x v="2"/>
    <n v="100"/>
    <x v="57"/>
    <x v="2"/>
    <x v="1"/>
  </r>
  <r>
    <n v="59"/>
    <x v="4"/>
    <x v="0"/>
    <x v="0"/>
    <n v="150"/>
    <x v="58"/>
    <x v="2"/>
    <x v="1"/>
  </r>
  <r>
    <n v="60"/>
    <x v="6"/>
    <x v="1"/>
    <x v="0"/>
    <n v="150"/>
    <x v="59"/>
    <x v="0"/>
    <x v="1"/>
  </r>
  <r>
    <n v="61"/>
    <x v="0"/>
    <x v="0"/>
    <x v="0"/>
    <n v="100"/>
    <x v="60"/>
    <x v="0"/>
    <x v="1"/>
  </r>
  <r>
    <n v="62"/>
    <x v="6"/>
    <x v="2"/>
    <x v="5"/>
    <n v="100"/>
    <x v="61"/>
    <x v="0"/>
    <x v="1"/>
  </r>
  <r>
    <n v="63"/>
    <x v="5"/>
    <x v="1"/>
    <x v="5"/>
    <n v="150"/>
    <x v="62"/>
    <x v="1"/>
    <x v="1"/>
  </r>
  <r>
    <n v="64"/>
    <x v="0"/>
    <x v="0"/>
    <x v="5"/>
    <n v="75"/>
    <x v="63"/>
    <x v="0"/>
    <x v="0"/>
  </r>
  <r>
    <n v="65"/>
    <x v="6"/>
    <x v="0"/>
    <x v="4"/>
    <n v="50"/>
    <x v="64"/>
    <x v="0"/>
    <x v="0"/>
  </r>
  <r>
    <n v="66"/>
    <x v="2"/>
    <x v="0"/>
    <x v="2"/>
    <n v="75"/>
    <x v="65"/>
    <x v="0"/>
    <x v="0"/>
  </r>
  <r>
    <n v="67"/>
    <x v="3"/>
    <x v="0"/>
    <x v="0"/>
    <n v="75"/>
    <x v="66"/>
    <x v="2"/>
    <x v="0"/>
  </r>
  <r>
    <n v="68"/>
    <x v="5"/>
    <x v="0"/>
    <x v="3"/>
    <n v="75"/>
    <x v="67"/>
    <x v="1"/>
    <x v="0"/>
  </r>
  <r>
    <n v="69"/>
    <x v="4"/>
    <x v="1"/>
    <x v="0"/>
    <n v="75"/>
    <x v="68"/>
    <x v="2"/>
    <x v="0"/>
  </r>
  <r>
    <n v="70"/>
    <x v="0"/>
    <x v="1"/>
    <x v="4"/>
    <n v="75"/>
    <x v="69"/>
    <x v="0"/>
    <x v="0"/>
  </r>
  <r>
    <n v="71"/>
    <x v="1"/>
    <x v="0"/>
    <x v="0"/>
    <n v="75"/>
    <x v="70"/>
    <x v="1"/>
    <x v="0"/>
  </r>
  <r>
    <n v="72"/>
    <x v="3"/>
    <x v="0"/>
    <x v="4"/>
    <n v="300"/>
    <x v="71"/>
    <x v="2"/>
    <x v="2"/>
  </r>
  <r>
    <n v="73"/>
    <x v="4"/>
    <x v="0"/>
    <x v="0"/>
    <n v="50"/>
    <x v="72"/>
    <x v="2"/>
    <x v="0"/>
  </r>
  <r>
    <n v="74"/>
    <x v="5"/>
    <x v="0"/>
    <x v="3"/>
    <n v="150"/>
    <x v="73"/>
    <x v="1"/>
    <x v="1"/>
  </r>
  <r>
    <n v="75"/>
    <x v="1"/>
    <x v="0"/>
    <x v="2"/>
    <n v="100"/>
    <x v="74"/>
    <x v="1"/>
    <x v="1"/>
  </r>
  <r>
    <n v="76"/>
    <x v="1"/>
    <x v="0"/>
    <x v="4"/>
    <n v="100"/>
    <x v="75"/>
    <x v="1"/>
    <x v="1"/>
  </r>
  <r>
    <n v="77"/>
    <x v="1"/>
    <x v="0"/>
    <x v="0"/>
    <n v="50"/>
    <x v="76"/>
    <x v="1"/>
    <x v="0"/>
  </r>
  <r>
    <n v="78"/>
    <x v="4"/>
    <x v="0"/>
    <x v="5"/>
    <n v="100"/>
    <x v="77"/>
    <x v="2"/>
    <x v="1"/>
  </r>
  <r>
    <n v="79"/>
    <x v="0"/>
    <x v="0"/>
    <x v="4"/>
    <n v="500"/>
    <x v="78"/>
    <x v="0"/>
    <x v="2"/>
  </r>
  <r>
    <n v="80"/>
    <x v="3"/>
    <x v="0"/>
    <x v="2"/>
    <n v="300"/>
    <x v="79"/>
    <x v="2"/>
    <x v="2"/>
  </r>
  <r>
    <n v="81"/>
    <x v="5"/>
    <x v="0"/>
    <x v="5"/>
    <n v="200"/>
    <x v="80"/>
    <x v="1"/>
    <x v="1"/>
  </r>
  <r>
    <n v="82"/>
    <x v="2"/>
    <x v="1"/>
    <x v="5"/>
    <n v="75"/>
    <x v="81"/>
    <x v="0"/>
    <x v="0"/>
  </r>
  <r>
    <n v="83"/>
    <x v="6"/>
    <x v="1"/>
    <x v="2"/>
    <n v="75"/>
    <x v="82"/>
    <x v="0"/>
    <x v="0"/>
  </r>
  <r>
    <n v="84"/>
    <x v="4"/>
    <x v="1"/>
    <x v="5"/>
    <n v="150"/>
    <x v="83"/>
    <x v="2"/>
    <x v="1"/>
  </r>
  <r>
    <n v="85"/>
    <x v="6"/>
    <x v="0"/>
    <x v="5"/>
    <n v="300"/>
    <x v="84"/>
    <x v="0"/>
    <x v="2"/>
  </r>
  <r>
    <n v="86"/>
    <x v="6"/>
    <x v="1"/>
    <x v="1"/>
    <n v="150"/>
    <x v="85"/>
    <x v="0"/>
    <x v="1"/>
  </r>
  <r>
    <n v="87"/>
    <x v="1"/>
    <x v="1"/>
    <x v="0"/>
    <n v="150"/>
    <x v="86"/>
    <x v="1"/>
    <x v="1"/>
  </r>
  <r>
    <n v="88"/>
    <x v="2"/>
    <x v="0"/>
    <x v="0"/>
    <n v="75"/>
    <x v="87"/>
    <x v="0"/>
    <x v="0"/>
  </r>
  <r>
    <n v="89"/>
    <x v="5"/>
    <x v="1"/>
    <x v="4"/>
    <n v="200"/>
    <x v="88"/>
    <x v="1"/>
    <x v="1"/>
  </r>
  <r>
    <n v="90"/>
    <x v="0"/>
    <x v="0"/>
    <x v="3"/>
    <n v="75"/>
    <x v="89"/>
    <x v="0"/>
    <x v="0"/>
  </r>
  <r>
    <n v="91"/>
    <x v="3"/>
    <x v="1"/>
    <x v="2"/>
    <n v="100"/>
    <x v="90"/>
    <x v="2"/>
    <x v="1"/>
  </r>
  <r>
    <n v="92"/>
    <x v="1"/>
    <x v="1"/>
    <x v="5"/>
    <n v="100"/>
    <x v="91"/>
    <x v="1"/>
    <x v="1"/>
  </r>
  <r>
    <n v="93"/>
    <x v="1"/>
    <x v="0"/>
    <x v="0"/>
    <n v="150"/>
    <x v="92"/>
    <x v="1"/>
    <x v="1"/>
  </r>
  <r>
    <n v="94"/>
    <x v="2"/>
    <x v="1"/>
    <x v="0"/>
    <n v="75"/>
    <x v="93"/>
    <x v="0"/>
    <x v="0"/>
  </r>
  <r>
    <n v="95"/>
    <x v="1"/>
    <x v="1"/>
    <x v="2"/>
    <n v="50"/>
    <x v="94"/>
    <x v="1"/>
    <x v="0"/>
  </r>
  <r>
    <n v="96"/>
    <x v="0"/>
    <x v="0"/>
    <x v="2"/>
    <n v="150"/>
    <x v="95"/>
    <x v="0"/>
    <x v="1"/>
  </r>
  <r>
    <n v="97"/>
    <x v="2"/>
    <x v="0"/>
    <x v="5"/>
    <n v="75"/>
    <x v="96"/>
    <x v="0"/>
    <x v="0"/>
  </r>
  <r>
    <n v="98"/>
    <x v="0"/>
    <x v="1"/>
    <x v="0"/>
    <n v="150"/>
    <x v="97"/>
    <x v="0"/>
    <x v="1"/>
  </r>
  <r>
    <n v="99"/>
    <x v="4"/>
    <x v="0"/>
    <x v="4"/>
    <n v="75"/>
    <x v="98"/>
    <x v="2"/>
    <x v="0"/>
  </r>
  <r>
    <n v="100"/>
    <x v="3"/>
    <x v="1"/>
    <x v="4"/>
    <n v="100"/>
    <x v="99"/>
    <x v="2"/>
    <x v="1"/>
  </r>
  <r>
    <n v="101"/>
    <x v="4"/>
    <x v="1"/>
    <x v="5"/>
    <n v="150"/>
    <x v="100"/>
    <x v="2"/>
    <x v="1"/>
  </r>
  <r>
    <n v="102"/>
    <x v="2"/>
    <x v="0"/>
    <x v="2"/>
    <n v="50"/>
    <x v="101"/>
    <x v="0"/>
    <x v="0"/>
  </r>
  <r>
    <n v="103"/>
    <x v="6"/>
    <x v="0"/>
    <x v="2"/>
    <n v="100"/>
    <x v="102"/>
    <x v="0"/>
    <x v="1"/>
  </r>
  <r>
    <n v="104"/>
    <x v="2"/>
    <x v="0"/>
    <x v="3"/>
    <n v="50"/>
    <x v="103"/>
    <x v="0"/>
    <x v="0"/>
  </r>
  <r>
    <n v="105"/>
    <x v="7"/>
    <x v="0"/>
    <x v="5"/>
    <n v="50"/>
    <x v="104"/>
    <x v="3"/>
    <x v="0"/>
  </r>
  <r>
    <n v="106"/>
    <x v="6"/>
    <x v="2"/>
    <x v="0"/>
    <n v="100"/>
    <x v="105"/>
    <x v="0"/>
    <x v="1"/>
  </r>
  <r>
    <n v="107"/>
    <x v="0"/>
    <x v="0"/>
    <x v="1"/>
    <n v="100"/>
    <x v="106"/>
    <x v="0"/>
    <x v="1"/>
  </r>
  <r>
    <n v="108"/>
    <x v="1"/>
    <x v="1"/>
    <x v="3"/>
    <n v="200"/>
    <x v="107"/>
    <x v="1"/>
    <x v="1"/>
  </r>
  <r>
    <n v="109"/>
    <x v="6"/>
    <x v="0"/>
    <x v="1"/>
    <n v="75"/>
    <x v="108"/>
    <x v="0"/>
    <x v="0"/>
  </r>
  <r>
    <n v="110"/>
    <x v="4"/>
    <x v="1"/>
    <x v="5"/>
    <n v="150"/>
    <x v="109"/>
    <x v="2"/>
    <x v="1"/>
  </r>
  <r>
    <n v="111"/>
    <x v="6"/>
    <x v="1"/>
    <x v="5"/>
    <n v="200"/>
    <x v="110"/>
    <x v="0"/>
    <x v="1"/>
  </r>
  <r>
    <n v="112"/>
    <x v="3"/>
    <x v="1"/>
    <x v="2"/>
    <n v="150"/>
    <x v="111"/>
    <x v="2"/>
    <x v="1"/>
  </r>
  <r>
    <n v="113"/>
    <x v="7"/>
    <x v="1"/>
    <x v="1"/>
    <n v="100"/>
    <x v="112"/>
    <x v="3"/>
    <x v="1"/>
  </r>
  <r>
    <n v="114"/>
    <x v="5"/>
    <x v="2"/>
    <x v="3"/>
    <n v="100"/>
    <x v="113"/>
    <x v="1"/>
    <x v="1"/>
  </r>
  <r>
    <n v="115"/>
    <x v="2"/>
    <x v="0"/>
    <x v="0"/>
    <n v="100"/>
    <x v="114"/>
    <x v="0"/>
    <x v="1"/>
  </r>
  <r>
    <n v="116"/>
    <x v="5"/>
    <x v="0"/>
    <x v="0"/>
    <n v="300"/>
    <x v="115"/>
    <x v="1"/>
    <x v="2"/>
  </r>
  <r>
    <n v="117"/>
    <x v="5"/>
    <x v="1"/>
    <x v="2"/>
    <n v="200"/>
    <x v="116"/>
    <x v="1"/>
    <x v="1"/>
  </r>
  <r>
    <n v="118"/>
    <x v="3"/>
    <x v="1"/>
    <x v="3"/>
    <n v="500"/>
    <x v="117"/>
    <x v="2"/>
    <x v="2"/>
  </r>
  <r>
    <n v="119"/>
    <x v="5"/>
    <x v="1"/>
    <x v="4"/>
    <n v="50"/>
    <x v="118"/>
    <x v="1"/>
    <x v="0"/>
  </r>
  <r>
    <n v="120"/>
    <x v="2"/>
    <x v="1"/>
    <x v="0"/>
    <n v="200"/>
    <x v="119"/>
    <x v="0"/>
    <x v="1"/>
  </r>
  <r>
    <n v="121"/>
    <x v="5"/>
    <x v="0"/>
    <x v="5"/>
    <n v="300"/>
    <x v="120"/>
    <x v="1"/>
    <x v="2"/>
  </r>
  <r>
    <n v="122"/>
    <x v="5"/>
    <x v="0"/>
    <x v="2"/>
    <n v="75"/>
    <x v="121"/>
    <x v="1"/>
    <x v="0"/>
  </r>
  <r>
    <n v="123"/>
    <x v="6"/>
    <x v="0"/>
    <x v="4"/>
    <n v="50"/>
    <x v="122"/>
    <x v="0"/>
    <x v="0"/>
  </r>
  <r>
    <n v="124"/>
    <x v="3"/>
    <x v="1"/>
    <x v="3"/>
    <n v="200"/>
    <x v="123"/>
    <x v="2"/>
    <x v="1"/>
  </r>
  <r>
    <n v="125"/>
    <x v="6"/>
    <x v="2"/>
    <x v="3"/>
    <n v="150"/>
    <x v="124"/>
    <x v="0"/>
    <x v="1"/>
  </r>
  <r>
    <n v="126"/>
    <x v="0"/>
    <x v="0"/>
    <x v="2"/>
    <n v="200"/>
    <x v="125"/>
    <x v="0"/>
    <x v="1"/>
  </r>
  <r>
    <n v="127"/>
    <x v="5"/>
    <x v="0"/>
    <x v="2"/>
    <n v="50"/>
    <x v="126"/>
    <x v="1"/>
    <x v="0"/>
  </r>
  <r>
    <n v="128"/>
    <x v="5"/>
    <x v="0"/>
    <x v="0"/>
    <n v="200"/>
    <x v="127"/>
    <x v="1"/>
    <x v="1"/>
  </r>
  <r>
    <n v="129"/>
    <x v="4"/>
    <x v="1"/>
    <x v="0"/>
    <n v="75"/>
    <x v="128"/>
    <x v="2"/>
    <x v="0"/>
  </r>
  <r>
    <n v="130"/>
    <x v="2"/>
    <x v="1"/>
    <x v="3"/>
    <n v="75"/>
    <x v="129"/>
    <x v="0"/>
    <x v="0"/>
  </r>
  <r>
    <n v="131"/>
    <x v="0"/>
    <x v="1"/>
    <x v="3"/>
    <n v="75"/>
    <x v="130"/>
    <x v="0"/>
    <x v="0"/>
  </r>
  <r>
    <n v="132"/>
    <x v="6"/>
    <x v="0"/>
    <x v="4"/>
    <n v="200"/>
    <x v="131"/>
    <x v="0"/>
    <x v="1"/>
  </r>
  <r>
    <n v="133"/>
    <x v="3"/>
    <x v="1"/>
    <x v="4"/>
    <n v="150"/>
    <x v="132"/>
    <x v="2"/>
    <x v="1"/>
  </r>
  <r>
    <n v="134"/>
    <x v="6"/>
    <x v="1"/>
    <x v="5"/>
    <n v="150"/>
    <x v="133"/>
    <x v="0"/>
    <x v="1"/>
  </r>
  <r>
    <n v="135"/>
    <x v="7"/>
    <x v="1"/>
    <x v="3"/>
    <n v="100"/>
    <x v="134"/>
    <x v="3"/>
    <x v="1"/>
  </r>
  <r>
    <n v="136"/>
    <x v="6"/>
    <x v="1"/>
    <x v="1"/>
    <n v="300"/>
    <x v="135"/>
    <x v="0"/>
    <x v="2"/>
  </r>
  <r>
    <n v="137"/>
    <x v="2"/>
    <x v="0"/>
    <x v="3"/>
    <n v="100"/>
    <x v="136"/>
    <x v="0"/>
    <x v="1"/>
  </r>
  <r>
    <n v="138"/>
    <x v="1"/>
    <x v="0"/>
    <x v="0"/>
    <n v="200"/>
    <x v="137"/>
    <x v="1"/>
    <x v="1"/>
  </r>
  <r>
    <n v="139"/>
    <x v="0"/>
    <x v="0"/>
    <x v="2"/>
    <n v="100"/>
    <x v="138"/>
    <x v="0"/>
    <x v="1"/>
  </r>
  <r>
    <n v="140"/>
    <x v="0"/>
    <x v="1"/>
    <x v="0"/>
    <n v="100"/>
    <x v="139"/>
    <x v="0"/>
    <x v="1"/>
  </r>
  <r>
    <n v="141"/>
    <x v="0"/>
    <x v="0"/>
    <x v="4"/>
    <n v="100"/>
    <x v="140"/>
    <x v="0"/>
    <x v="1"/>
  </r>
  <r>
    <n v="142"/>
    <x v="6"/>
    <x v="0"/>
    <x v="5"/>
    <n v="100"/>
    <x v="141"/>
    <x v="0"/>
    <x v="1"/>
  </r>
  <r>
    <n v="143"/>
    <x v="0"/>
    <x v="1"/>
    <x v="0"/>
    <n v="200"/>
    <x v="142"/>
    <x v="0"/>
    <x v="1"/>
  </r>
  <r>
    <n v="144"/>
    <x v="6"/>
    <x v="1"/>
    <x v="5"/>
    <n v="150"/>
    <x v="143"/>
    <x v="0"/>
    <x v="1"/>
  </r>
  <r>
    <n v="145"/>
    <x v="6"/>
    <x v="1"/>
    <x v="5"/>
    <n v="75"/>
    <x v="144"/>
    <x v="0"/>
    <x v="0"/>
  </r>
  <r>
    <n v="146"/>
    <x v="4"/>
    <x v="0"/>
    <x v="2"/>
    <n v="300"/>
    <x v="145"/>
    <x v="2"/>
    <x v="2"/>
  </r>
  <r>
    <n v="147"/>
    <x v="2"/>
    <x v="0"/>
    <x v="0"/>
    <n v="100"/>
    <x v="146"/>
    <x v="0"/>
    <x v="1"/>
  </r>
  <r>
    <n v="148"/>
    <x v="2"/>
    <x v="1"/>
    <x v="5"/>
    <n v="150"/>
    <x v="147"/>
    <x v="0"/>
    <x v="1"/>
  </r>
  <r>
    <n v="149"/>
    <x v="4"/>
    <x v="1"/>
    <x v="2"/>
    <n v="300"/>
    <x v="148"/>
    <x v="2"/>
    <x v="2"/>
  </r>
  <r>
    <n v="150"/>
    <x v="6"/>
    <x v="0"/>
    <x v="3"/>
    <n v="150"/>
    <x v="149"/>
    <x v="0"/>
    <x v="1"/>
  </r>
  <r>
    <n v="151"/>
    <x v="7"/>
    <x v="0"/>
    <x v="2"/>
    <n v="50"/>
    <x v="150"/>
    <x v="3"/>
    <x v="0"/>
  </r>
  <r>
    <n v="152"/>
    <x v="6"/>
    <x v="0"/>
    <x v="3"/>
    <n v="300"/>
    <x v="151"/>
    <x v="0"/>
    <x v="2"/>
  </r>
  <r>
    <n v="153"/>
    <x v="3"/>
    <x v="0"/>
    <x v="5"/>
    <n v="150"/>
    <x v="152"/>
    <x v="2"/>
    <x v="1"/>
  </r>
  <r>
    <n v="154"/>
    <x v="0"/>
    <x v="1"/>
    <x v="5"/>
    <n v="100"/>
    <x v="153"/>
    <x v="0"/>
    <x v="1"/>
  </r>
  <r>
    <n v="155"/>
    <x v="0"/>
    <x v="1"/>
    <x v="3"/>
    <n v="50"/>
    <x v="154"/>
    <x v="0"/>
    <x v="0"/>
  </r>
  <r>
    <n v="156"/>
    <x v="6"/>
    <x v="0"/>
    <x v="2"/>
    <n v="200"/>
    <x v="155"/>
    <x v="0"/>
    <x v="1"/>
  </r>
  <r>
    <n v="157"/>
    <x v="1"/>
    <x v="1"/>
    <x v="0"/>
    <n v="150"/>
    <x v="156"/>
    <x v="1"/>
    <x v="1"/>
  </r>
  <r>
    <n v="158"/>
    <x v="1"/>
    <x v="0"/>
    <x v="0"/>
    <n v="150"/>
    <x v="157"/>
    <x v="1"/>
    <x v="1"/>
  </r>
  <r>
    <n v="159"/>
    <x v="6"/>
    <x v="0"/>
    <x v="3"/>
    <n v="300"/>
    <x v="158"/>
    <x v="0"/>
    <x v="2"/>
  </r>
  <r>
    <n v="160"/>
    <x v="1"/>
    <x v="0"/>
    <x v="5"/>
    <n v="200"/>
    <x v="159"/>
    <x v="1"/>
    <x v="1"/>
  </r>
  <r>
    <n v="161"/>
    <x v="0"/>
    <x v="1"/>
    <x v="5"/>
    <n v="75"/>
    <x v="160"/>
    <x v="0"/>
    <x v="0"/>
  </r>
  <r>
    <n v="162"/>
    <x v="2"/>
    <x v="0"/>
    <x v="0"/>
    <n v="100"/>
    <x v="161"/>
    <x v="0"/>
    <x v="1"/>
  </r>
  <r>
    <n v="163"/>
    <x v="2"/>
    <x v="1"/>
    <x v="0"/>
    <n v="75"/>
    <x v="162"/>
    <x v="0"/>
    <x v="0"/>
  </r>
  <r>
    <n v="164"/>
    <x v="2"/>
    <x v="0"/>
    <x v="0"/>
    <n v="200"/>
    <x v="163"/>
    <x v="0"/>
    <x v="1"/>
  </r>
  <r>
    <n v="165"/>
    <x v="3"/>
    <x v="0"/>
    <x v="2"/>
    <n v="50"/>
    <x v="164"/>
    <x v="2"/>
    <x v="0"/>
  </r>
  <r>
    <n v="166"/>
    <x v="5"/>
    <x v="1"/>
    <x v="5"/>
    <n v="150"/>
    <x v="165"/>
    <x v="1"/>
    <x v="1"/>
  </r>
  <r>
    <n v="167"/>
    <x v="6"/>
    <x v="2"/>
    <x v="2"/>
    <n v="200"/>
    <x v="166"/>
    <x v="0"/>
    <x v="1"/>
  </r>
  <r>
    <n v="168"/>
    <x v="3"/>
    <x v="0"/>
    <x v="2"/>
    <n v="300"/>
    <x v="167"/>
    <x v="2"/>
    <x v="2"/>
  </r>
  <r>
    <n v="169"/>
    <x v="4"/>
    <x v="1"/>
    <x v="1"/>
    <n v="100"/>
    <x v="168"/>
    <x v="2"/>
    <x v="1"/>
  </r>
  <r>
    <n v="170"/>
    <x v="2"/>
    <x v="1"/>
    <x v="2"/>
    <n v="200"/>
    <x v="169"/>
    <x v="0"/>
    <x v="1"/>
  </r>
  <r>
    <n v="171"/>
    <x v="1"/>
    <x v="1"/>
    <x v="2"/>
    <n v="50"/>
    <x v="170"/>
    <x v="1"/>
    <x v="0"/>
  </r>
  <r>
    <n v="172"/>
    <x v="4"/>
    <x v="1"/>
    <x v="3"/>
    <n v="200"/>
    <x v="171"/>
    <x v="2"/>
    <x v="1"/>
  </r>
  <r>
    <n v="173"/>
    <x v="2"/>
    <x v="1"/>
    <x v="2"/>
    <n v="50"/>
    <x v="172"/>
    <x v="0"/>
    <x v="0"/>
  </r>
  <r>
    <n v="174"/>
    <x v="6"/>
    <x v="0"/>
    <x v="5"/>
    <n v="100"/>
    <x v="173"/>
    <x v="0"/>
    <x v="1"/>
  </r>
  <r>
    <n v="175"/>
    <x v="2"/>
    <x v="1"/>
    <x v="3"/>
    <n v="200"/>
    <x v="174"/>
    <x v="0"/>
    <x v="1"/>
  </r>
  <r>
    <n v="176"/>
    <x v="3"/>
    <x v="1"/>
    <x v="1"/>
    <n v="50"/>
    <x v="175"/>
    <x v="2"/>
    <x v="0"/>
  </r>
  <r>
    <n v="177"/>
    <x v="1"/>
    <x v="0"/>
    <x v="0"/>
    <n v="75"/>
    <x v="176"/>
    <x v="1"/>
    <x v="0"/>
  </r>
  <r>
    <n v="178"/>
    <x v="0"/>
    <x v="1"/>
    <x v="1"/>
    <n v="200"/>
    <x v="177"/>
    <x v="0"/>
    <x v="1"/>
  </r>
  <r>
    <n v="179"/>
    <x v="7"/>
    <x v="0"/>
    <x v="2"/>
    <n v="200"/>
    <x v="178"/>
    <x v="3"/>
    <x v="1"/>
  </r>
  <r>
    <n v="180"/>
    <x v="3"/>
    <x v="1"/>
    <x v="0"/>
    <n v="150"/>
    <x v="179"/>
    <x v="2"/>
    <x v="1"/>
  </r>
  <r>
    <n v="181"/>
    <x v="6"/>
    <x v="1"/>
    <x v="2"/>
    <n v="150"/>
    <x v="180"/>
    <x v="0"/>
    <x v="1"/>
  </r>
  <r>
    <n v="182"/>
    <x v="3"/>
    <x v="0"/>
    <x v="4"/>
    <n v="150"/>
    <x v="181"/>
    <x v="2"/>
    <x v="1"/>
  </r>
  <r>
    <n v="183"/>
    <x v="7"/>
    <x v="0"/>
    <x v="2"/>
    <n v="75"/>
    <x v="182"/>
    <x v="3"/>
    <x v="0"/>
  </r>
  <r>
    <n v="184"/>
    <x v="5"/>
    <x v="0"/>
    <x v="2"/>
    <n v="100"/>
    <x v="183"/>
    <x v="1"/>
    <x v="1"/>
  </r>
  <r>
    <n v="185"/>
    <x v="6"/>
    <x v="0"/>
    <x v="5"/>
    <n v="75"/>
    <x v="184"/>
    <x v="0"/>
    <x v="0"/>
  </r>
  <r>
    <n v="186"/>
    <x v="1"/>
    <x v="0"/>
    <x v="0"/>
    <n v="300"/>
    <x v="185"/>
    <x v="1"/>
    <x v="2"/>
  </r>
  <r>
    <n v="187"/>
    <x v="5"/>
    <x v="1"/>
    <x v="0"/>
    <n v="150"/>
    <x v="186"/>
    <x v="1"/>
    <x v="1"/>
  </r>
  <r>
    <n v="188"/>
    <x v="2"/>
    <x v="1"/>
    <x v="0"/>
    <n v="100"/>
    <x v="187"/>
    <x v="0"/>
    <x v="1"/>
  </r>
  <r>
    <n v="189"/>
    <x v="2"/>
    <x v="0"/>
    <x v="0"/>
    <n v="100"/>
    <x v="188"/>
    <x v="0"/>
    <x v="1"/>
  </r>
  <r>
    <n v="190"/>
    <x v="6"/>
    <x v="0"/>
    <x v="0"/>
    <n v="300"/>
    <x v="189"/>
    <x v="0"/>
    <x v="2"/>
  </r>
  <r>
    <n v="191"/>
    <x v="3"/>
    <x v="2"/>
    <x v="0"/>
    <n v="75"/>
    <x v="190"/>
    <x v="2"/>
    <x v="0"/>
  </r>
  <r>
    <n v="192"/>
    <x v="5"/>
    <x v="1"/>
    <x v="5"/>
    <n v="150"/>
    <x v="191"/>
    <x v="1"/>
    <x v="1"/>
  </r>
  <r>
    <n v="193"/>
    <x v="7"/>
    <x v="1"/>
    <x v="0"/>
    <n v="150"/>
    <x v="192"/>
    <x v="3"/>
    <x v="1"/>
  </r>
  <r>
    <n v="194"/>
    <x v="2"/>
    <x v="0"/>
    <x v="2"/>
    <n v="150"/>
    <x v="193"/>
    <x v="0"/>
    <x v="1"/>
  </r>
  <r>
    <n v="195"/>
    <x v="6"/>
    <x v="1"/>
    <x v="3"/>
    <n v="50"/>
    <x v="194"/>
    <x v="0"/>
    <x v="0"/>
  </r>
  <r>
    <n v="196"/>
    <x v="6"/>
    <x v="0"/>
    <x v="2"/>
    <n v="300"/>
    <x v="195"/>
    <x v="0"/>
    <x v="2"/>
  </r>
  <r>
    <n v="197"/>
    <x v="1"/>
    <x v="0"/>
    <x v="5"/>
    <n v="300"/>
    <x v="196"/>
    <x v="1"/>
    <x v="2"/>
  </r>
  <r>
    <n v="198"/>
    <x v="5"/>
    <x v="1"/>
    <x v="0"/>
    <n v="150"/>
    <x v="197"/>
    <x v="1"/>
    <x v="1"/>
  </r>
  <r>
    <n v="199"/>
    <x v="5"/>
    <x v="0"/>
    <x v="0"/>
    <n v="150"/>
    <x v="198"/>
    <x v="1"/>
    <x v="1"/>
  </r>
  <r>
    <n v="200"/>
    <x v="1"/>
    <x v="0"/>
    <x v="0"/>
    <n v="300"/>
    <x v="199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CA6E1-1941-4E21-A684-35C70363014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6">
    <pivotField dataField="1"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showDataAs="percentOfTotal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69750-F026-4B7A-9746-D22D2685B15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6">
    <pivotField dataField="1"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  <pivotField showAll="0"/>
    <pivotField numFmtId="1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_ID" fld="0" subtotal="count" showDataAs="percentOfTotal" baseField="3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19D12-D0F0-48EA-AEB3-065BE8CD6326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showDataAs="percentOfTotal" baseField="7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A3CA1-ADB5-495D-890F-D071DC8E265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7">
    <pivotField dataField="1" showAll="0"/>
    <pivotField showAll="0"/>
    <pivotField showAll="0"/>
    <pivotField showAll="0"/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970E5-08EC-48C7-972A-D3A3E5E6DFF0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0">
    <pivotField showAll="0"/>
    <pivotField showAll="0">
      <items count="9">
        <item x="4"/>
        <item x="3"/>
        <item x="6"/>
        <item x="0"/>
        <item x="2"/>
        <item x="1"/>
        <item x="5"/>
        <item x="7"/>
        <item t="default"/>
      </items>
    </pivotField>
    <pivotField showAll="0"/>
    <pivotField showAll="0"/>
    <pivotField dataField="1"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Average of Purchase_Amount_RM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E4109-2768-4E85-B902-BCC45A946DBF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0">
    <pivotField showAll="0"/>
    <pivotField showAll="0"/>
    <pivotField showAll="0"/>
    <pivotField axis="axisRow" showAll="0" sortType="ascending">
      <items count="7">
        <item x="3"/>
        <item x="2"/>
        <item x="0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5"/>
    </i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Purchase_Amount_RM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16FF4-991C-4999-962B-1C49CBEA0EFE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_Amount_RM" fld="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F8BB0-8892-454B-B707-5DE8A0E3B3C3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0">
    <pivotField showAll="0"/>
    <pivotField showAll="0"/>
    <pivotField showAll="0"/>
    <pivotField showAll="0"/>
    <pivotField dataField="1"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urchase_Amount_RM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66AC9-59A9-4271-9033-C5A5BB966152}" name="Table2" displayName="Table2" ref="B4:D9" totalsRowShown="0" headerRowDxfId="0">
  <autoFilter ref="B4:D9" xr:uid="{30266AC9-59A9-4271-9033-C5A5BB966152}"/>
  <tableColumns count="3">
    <tableColumn id="1" xr3:uid="{427B2C39-390C-442F-A01B-A5C8D9C7A35D}" name="Statistic"/>
    <tableColumn id="2" xr3:uid="{7F8C4C64-7C29-4ECE-B37A-CDD117B4A520}" name="Age" dataDxfId="1">
      <calculatedColumnFormula>AVERAGE(cleaned_sales_dataset!B2:B211)</calculatedColumnFormula>
    </tableColumn>
    <tableColumn id="3" xr3:uid="{EF304FDB-4314-411C-8006-39262007A00E}" name="Purchase_Amount_R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8A49-B2CD-4F87-851B-F4A2C5805CF5}">
  <dimension ref="B3:R21"/>
  <sheetViews>
    <sheetView tabSelected="1" zoomScale="57" workbookViewId="0">
      <selection activeCell="U13" sqref="U13"/>
    </sheetView>
  </sheetViews>
  <sheetFormatPr defaultRowHeight="14.5" x14ac:dyDescent="0.35"/>
  <sheetData>
    <row r="3" spans="2:18" ht="28.5" x14ac:dyDescent="0.65">
      <c r="B3" s="10" t="s">
        <v>41</v>
      </c>
    </row>
    <row r="5" spans="2:18" ht="18.5" x14ac:dyDescent="0.45">
      <c r="B5" s="14" t="s">
        <v>42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3"/>
    </row>
    <row r="6" spans="2:18" x14ac:dyDescent="0.35">
      <c r="B6" s="15" t="s">
        <v>43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3"/>
    </row>
    <row r="7" spans="2:18" x14ac:dyDescent="0.3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3"/>
    </row>
    <row r="8" spans="2:18" ht="18.5" x14ac:dyDescent="0.45">
      <c r="B8" s="16" t="s">
        <v>44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2"/>
    </row>
    <row r="9" spans="2:18" x14ac:dyDescent="0.35">
      <c r="B9" s="17" t="s">
        <v>46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2"/>
    </row>
    <row r="10" spans="2:18" x14ac:dyDescent="0.35">
      <c r="B10" s="17" t="s">
        <v>45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2"/>
    </row>
    <row r="11" spans="2:18" x14ac:dyDescent="0.35">
      <c r="B11" s="17" t="s">
        <v>47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2"/>
    </row>
    <row r="12" spans="2:18" x14ac:dyDescent="0.35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2"/>
    </row>
    <row r="13" spans="2:18" ht="18.5" x14ac:dyDescent="0.45">
      <c r="B13" s="16" t="s">
        <v>48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2"/>
    </row>
    <row r="14" spans="2:18" x14ac:dyDescent="0.35">
      <c r="B14" s="17" t="s">
        <v>49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2"/>
    </row>
    <row r="15" spans="2:18" x14ac:dyDescent="0.35">
      <c r="B15" s="17" t="s">
        <v>50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2"/>
    </row>
    <row r="16" spans="2:18" x14ac:dyDescent="0.35">
      <c r="B16" s="12" t="s">
        <v>51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 x14ac:dyDescent="0.3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2:18" ht="18.5" x14ac:dyDescent="0.45">
      <c r="B18" s="11" t="s">
        <v>52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2:18" x14ac:dyDescent="0.35">
      <c r="B19" s="12" t="s">
        <v>53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2:18" x14ac:dyDescent="0.35">
      <c r="B20" s="12" t="s">
        <v>54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B083-1B4B-4D44-BBF1-157C53DB8BC5}">
  <dimension ref="A1:F211"/>
  <sheetViews>
    <sheetView zoomScale="51" workbookViewId="0">
      <selection activeCell="E1" sqref="E1:E1048576"/>
    </sheetView>
  </sheetViews>
  <sheetFormatPr defaultRowHeight="14.5" x14ac:dyDescent="0.35"/>
  <cols>
    <col min="6" max="6" width="13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28</v>
      </c>
      <c r="C2" t="s">
        <v>6</v>
      </c>
      <c r="D2" t="s">
        <v>7</v>
      </c>
      <c r="E2">
        <v>75</v>
      </c>
      <c r="F2" s="1">
        <v>45292</v>
      </c>
    </row>
    <row r="3" spans="1:6" x14ac:dyDescent="0.35">
      <c r="A3">
        <v>2</v>
      </c>
      <c r="C3" t="s">
        <v>8</v>
      </c>
      <c r="D3" t="s">
        <v>9</v>
      </c>
      <c r="E3">
        <v>75</v>
      </c>
      <c r="F3" s="1">
        <v>45293</v>
      </c>
    </row>
    <row r="4" spans="1:6" x14ac:dyDescent="0.35">
      <c r="A4">
        <v>3</v>
      </c>
      <c r="B4">
        <v>35</v>
      </c>
      <c r="C4" t="s">
        <v>8</v>
      </c>
      <c r="D4" t="s">
        <v>10</v>
      </c>
      <c r="E4">
        <v>75</v>
      </c>
      <c r="F4" s="1">
        <v>45294</v>
      </c>
    </row>
    <row r="5" spans="1:6" x14ac:dyDescent="0.35">
      <c r="A5">
        <v>4</v>
      </c>
      <c r="B5">
        <v>30</v>
      </c>
      <c r="C5" t="s">
        <v>6</v>
      </c>
      <c r="D5" t="s">
        <v>11</v>
      </c>
      <c r="E5">
        <v>50</v>
      </c>
      <c r="F5" s="1">
        <v>45295</v>
      </c>
    </row>
    <row r="6" spans="1:6" x14ac:dyDescent="0.35">
      <c r="A6">
        <v>5</v>
      </c>
      <c r="B6">
        <v>22</v>
      </c>
      <c r="C6" t="s">
        <v>6</v>
      </c>
      <c r="D6" t="s">
        <v>10</v>
      </c>
      <c r="E6">
        <v>50</v>
      </c>
      <c r="F6" s="1">
        <v>45296</v>
      </c>
    </row>
    <row r="7" spans="1:6" x14ac:dyDescent="0.35">
      <c r="A7">
        <v>6</v>
      </c>
      <c r="B7">
        <v>22</v>
      </c>
      <c r="C7" t="s">
        <v>8</v>
      </c>
      <c r="D7" t="s">
        <v>11</v>
      </c>
      <c r="E7">
        <v>100</v>
      </c>
      <c r="F7" s="1">
        <v>45297</v>
      </c>
    </row>
    <row r="8" spans="1:6" x14ac:dyDescent="0.35">
      <c r="A8">
        <v>7</v>
      </c>
      <c r="B8">
        <v>18</v>
      </c>
      <c r="C8" t="s">
        <v>8</v>
      </c>
      <c r="D8" t="s">
        <v>10</v>
      </c>
      <c r="E8">
        <v>75</v>
      </c>
      <c r="F8" s="1">
        <v>45298</v>
      </c>
    </row>
    <row r="9" spans="1:6" x14ac:dyDescent="0.35">
      <c r="A9">
        <v>8</v>
      </c>
      <c r="B9">
        <v>40</v>
      </c>
      <c r="C9" t="s">
        <v>6</v>
      </c>
      <c r="D9" t="s">
        <v>7</v>
      </c>
      <c r="E9">
        <v>100</v>
      </c>
      <c r="F9" s="1">
        <v>45299</v>
      </c>
    </row>
    <row r="10" spans="1:6" x14ac:dyDescent="0.35">
      <c r="A10">
        <v>9</v>
      </c>
      <c r="B10">
        <v>30</v>
      </c>
      <c r="C10" t="s">
        <v>8</v>
      </c>
      <c r="D10" t="s">
        <v>9</v>
      </c>
      <c r="E10">
        <v>150</v>
      </c>
      <c r="F10" s="1">
        <v>45300</v>
      </c>
    </row>
    <row r="11" spans="1:6" x14ac:dyDescent="0.35">
      <c r="A11">
        <v>10</v>
      </c>
      <c r="B11">
        <v>35</v>
      </c>
      <c r="C11" t="s">
        <v>8</v>
      </c>
      <c r="D11" t="s">
        <v>7</v>
      </c>
      <c r="E11">
        <v>150</v>
      </c>
      <c r="F11" s="1">
        <v>45301</v>
      </c>
    </row>
    <row r="12" spans="1:6" x14ac:dyDescent="0.35">
      <c r="A12">
        <v>11</v>
      </c>
      <c r="B12">
        <v>18</v>
      </c>
      <c r="C12" t="s">
        <v>6</v>
      </c>
      <c r="D12" t="s">
        <v>10</v>
      </c>
      <c r="E12">
        <v>50</v>
      </c>
      <c r="F12" s="1">
        <v>45302</v>
      </c>
    </row>
    <row r="13" spans="1:6" x14ac:dyDescent="0.35">
      <c r="A13">
        <v>12</v>
      </c>
      <c r="C13" t="s">
        <v>6</v>
      </c>
      <c r="E13">
        <v>200</v>
      </c>
      <c r="F13" s="1">
        <v>45303</v>
      </c>
    </row>
    <row r="14" spans="1:6" x14ac:dyDescent="0.35">
      <c r="A14">
        <v>13</v>
      </c>
      <c r="B14">
        <v>40</v>
      </c>
      <c r="C14" t="s">
        <v>6</v>
      </c>
      <c r="E14">
        <v>150</v>
      </c>
      <c r="F14" s="1">
        <v>45304</v>
      </c>
    </row>
    <row r="15" spans="1:6" x14ac:dyDescent="0.35">
      <c r="A15">
        <v>14</v>
      </c>
      <c r="B15">
        <v>25</v>
      </c>
      <c r="C15" t="s">
        <v>8</v>
      </c>
      <c r="D15" t="s">
        <v>12</v>
      </c>
      <c r="E15">
        <v>50</v>
      </c>
      <c r="F15" s="1">
        <v>45305</v>
      </c>
    </row>
    <row r="16" spans="1:6" x14ac:dyDescent="0.35">
      <c r="A16">
        <v>15</v>
      </c>
      <c r="B16">
        <v>22</v>
      </c>
      <c r="C16" t="s">
        <v>6</v>
      </c>
      <c r="D16" t="s">
        <v>12</v>
      </c>
      <c r="E16">
        <v>300</v>
      </c>
      <c r="F16" s="1">
        <v>45306</v>
      </c>
    </row>
    <row r="17" spans="1:6" x14ac:dyDescent="0.35">
      <c r="A17">
        <v>16</v>
      </c>
      <c r="B17">
        <v>22</v>
      </c>
      <c r="C17" t="s">
        <v>8</v>
      </c>
      <c r="D17" t="s">
        <v>10</v>
      </c>
      <c r="E17">
        <v>300</v>
      </c>
      <c r="F17" s="1">
        <v>45307</v>
      </c>
    </row>
    <row r="18" spans="1:6" x14ac:dyDescent="0.35">
      <c r="A18">
        <v>17</v>
      </c>
      <c r="B18">
        <v>25</v>
      </c>
      <c r="C18" t="s">
        <v>8</v>
      </c>
      <c r="D18" t="s">
        <v>7</v>
      </c>
      <c r="E18">
        <v>50</v>
      </c>
      <c r="F18" s="1">
        <v>45308</v>
      </c>
    </row>
    <row r="19" spans="1:6" x14ac:dyDescent="0.35">
      <c r="A19">
        <v>18</v>
      </c>
      <c r="B19">
        <v>30</v>
      </c>
      <c r="C19" t="s">
        <v>6</v>
      </c>
      <c r="D19" t="s">
        <v>10</v>
      </c>
      <c r="E19">
        <v>75</v>
      </c>
      <c r="F19" s="1">
        <v>45309</v>
      </c>
    </row>
    <row r="20" spans="1:6" x14ac:dyDescent="0.35">
      <c r="A20">
        <v>19</v>
      </c>
      <c r="B20">
        <v>28</v>
      </c>
      <c r="C20" t="s">
        <v>6</v>
      </c>
      <c r="D20" t="s">
        <v>12</v>
      </c>
      <c r="E20">
        <v>200</v>
      </c>
      <c r="F20" s="1">
        <v>45310</v>
      </c>
    </row>
    <row r="21" spans="1:6" x14ac:dyDescent="0.35">
      <c r="A21">
        <v>20</v>
      </c>
      <c r="B21">
        <v>25</v>
      </c>
      <c r="C21" t="s">
        <v>6</v>
      </c>
      <c r="D21" t="s">
        <v>11</v>
      </c>
      <c r="E21">
        <v>200</v>
      </c>
      <c r="F21" s="1">
        <v>45311</v>
      </c>
    </row>
    <row r="22" spans="1:6" x14ac:dyDescent="0.35">
      <c r="A22">
        <v>21</v>
      </c>
      <c r="B22">
        <v>30</v>
      </c>
      <c r="C22" t="s">
        <v>6</v>
      </c>
      <c r="D22" t="s">
        <v>11</v>
      </c>
      <c r="E22">
        <v>75</v>
      </c>
      <c r="F22" s="1">
        <v>45312</v>
      </c>
    </row>
    <row r="23" spans="1:6" x14ac:dyDescent="0.35">
      <c r="A23">
        <v>22</v>
      </c>
      <c r="B23">
        <v>22</v>
      </c>
      <c r="C23" t="s">
        <v>6</v>
      </c>
      <c r="D23" t="s">
        <v>11</v>
      </c>
      <c r="E23">
        <v>75</v>
      </c>
      <c r="F23" s="1">
        <v>45313</v>
      </c>
    </row>
    <row r="24" spans="1:6" x14ac:dyDescent="0.35">
      <c r="A24">
        <v>23</v>
      </c>
      <c r="B24">
        <v>25</v>
      </c>
      <c r="C24" t="s">
        <v>8</v>
      </c>
      <c r="D24" t="s">
        <v>7</v>
      </c>
      <c r="E24">
        <v>100</v>
      </c>
      <c r="F24" s="1">
        <v>45314</v>
      </c>
    </row>
    <row r="25" spans="1:6" x14ac:dyDescent="0.35">
      <c r="A25">
        <v>24</v>
      </c>
      <c r="B25">
        <v>28</v>
      </c>
      <c r="C25" t="s">
        <v>8</v>
      </c>
      <c r="D25" t="s">
        <v>10</v>
      </c>
      <c r="E25">
        <v>100</v>
      </c>
      <c r="F25" s="1">
        <v>45315</v>
      </c>
    </row>
    <row r="26" spans="1:6" x14ac:dyDescent="0.35">
      <c r="A26">
        <v>25</v>
      </c>
      <c r="B26">
        <v>28</v>
      </c>
      <c r="C26" t="s">
        <v>8</v>
      </c>
      <c r="D26" t="s">
        <v>7</v>
      </c>
      <c r="E26">
        <v>150</v>
      </c>
      <c r="F26" s="1">
        <v>45316</v>
      </c>
    </row>
    <row r="27" spans="1:6" x14ac:dyDescent="0.35">
      <c r="A27">
        <v>26</v>
      </c>
      <c r="B27">
        <v>35</v>
      </c>
      <c r="C27" t="s">
        <v>8</v>
      </c>
      <c r="D27" t="s">
        <v>10</v>
      </c>
      <c r="E27">
        <v>100</v>
      </c>
      <c r="F27" s="1">
        <v>45317</v>
      </c>
    </row>
    <row r="28" spans="1:6" x14ac:dyDescent="0.35">
      <c r="A28">
        <v>27</v>
      </c>
      <c r="B28">
        <v>22</v>
      </c>
      <c r="D28" t="s">
        <v>10</v>
      </c>
      <c r="E28">
        <v>100</v>
      </c>
      <c r="F28" s="1">
        <v>45318</v>
      </c>
    </row>
    <row r="29" spans="1:6" x14ac:dyDescent="0.35">
      <c r="A29">
        <v>28</v>
      </c>
      <c r="B29">
        <v>30</v>
      </c>
      <c r="C29" t="s">
        <v>8</v>
      </c>
      <c r="D29" t="s">
        <v>11</v>
      </c>
      <c r="E29">
        <v>200</v>
      </c>
      <c r="F29" s="1">
        <v>45319</v>
      </c>
    </row>
    <row r="30" spans="1:6" x14ac:dyDescent="0.35">
      <c r="A30">
        <v>29</v>
      </c>
      <c r="B30">
        <v>30</v>
      </c>
      <c r="C30" t="s">
        <v>6</v>
      </c>
      <c r="D30" t="s">
        <v>10</v>
      </c>
      <c r="E30">
        <v>50</v>
      </c>
      <c r="F30" s="1">
        <v>45320</v>
      </c>
    </row>
    <row r="31" spans="1:6" x14ac:dyDescent="0.35">
      <c r="A31">
        <v>30</v>
      </c>
      <c r="B31">
        <v>18</v>
      </c>
      <c r="C31" t="s">
        <v>6</v>
      </c>
      <c r="D31" t="s">
        <v>7</v>
      </c>
      <c r="E31">
        <v>75</v>
      </c>
      <c r="F31" s="1">
        <v>45321</v>
      </c>
    </row>
    <row r="32" spans="1:6" x14ac:dyDescent="0.35">
      <c r="A32">
        <v>31</v>
      </c>
      <c r="B32">
        <v>30</v>
      </c>
      <c r="C32" t="s">
        <v>6</v>
      </c>
      <c r="D32" t="s">
        <v>7</v>
      </c>
      <c r="E32">
        <v>200</v>
      </c>
      <c r="F32" s="1">
        <v>45322</v>
      </c>
    </row>
    <row r="33" spans="1:6" x14ac:dyDescent="0.35">
      <c r="A33">
        <v>32</v>
      </c>
      <c r="B33">
        <v>22</v>
      </c>
      <c r="C33" t="s">
        <v>6</v>
      </c>
      <c r="D33" t="s">
        <v>11</v>
      </c>
      <c r="E33">
        <v>300</v>
      </c>
      <c r="F33" s="1">
        <v>45323</v>
      </c>
    </row>
    <row r="34" spans="1:6" x14ac:dyDescent="0.35">
      <c r="A34">
        <v>33</v>
      </c>
      <c r="B34">
        <v>18</v>
      </c>
      <c r="C34" t="s">
        <v>6</v>
      </c>
      <c r="D34" t="s">
        <v>12</v>
      </c>
      <c r="E34">
        <v>150</v>
      </c>
      <c r="F34" s="1">
        <v>45324</v>
      </c>
    </row>
    <row r="35" spans="1:6" x14ac:dyDescent="0.35">
      <c r="A35">
        <v>34</v>
      </c>
      <c r="B35">
        <v>45</v>
      </c>
      <c r="C35" t="s">
        <v>6</v>
      </c>
      <c r="D35" t="s">
        <v>7</v>
      </c>
      <c r="E35">
        <v>150</v>
      </c>
      <c r="F35" s="1">
        <v>45325</v>
      </c>
    </row>
    <row r="36" spans="1:6" x14ac:dyDescent="0.35">
      <c r="A36">
        <v>35</v>
      </c>
      <c r="C36" t="s">
        <v>8</v>
      </c>
      <c r="D36" t="s">
        <v>7</v>
      </c>
      <c r="E36">
        <v>50</v>
      </c>
      <c r="F36" s="1">
        <v>45326</v>
      </c>
    </row>
    <row r="37" spans="1:6" x14ac:dyDescent="0.35">
      <c r="A37">
        <v>36</v>
      </c>
      <c r="B37">
        <v>40</v>
      </c>
      <c r="C37" t="s">
        <v>6</v>
      </c>
      <c r="D37" t="s">
        <v>12</v>
      </c>
      <c r="E37">
        <v>100</v>
      </c>
      <c r="F37" s="1">
        <v>45327</v>
      </c>
    </row>
    <row r="38" spans="1:6" x14ac:dyDescent="0.35">
      <c r="A38">
        <v>37</v>
      </c>
      <c r="B38">
        <v>25</v>
      </c>
      <c r="C38" t="s">
        <v>8</v>
      </c>
      <c r="D38" t="s">
        <v>7</v>
      </c>
      <c r="E38">
        <v>150</v>
      </c>
      <c r="F38" s="1">
        <v>45328</v>
      </c>
    </row>
    <row r="39" spans="1:6" x14ac:dyDescent="0.35">
      <c r="A39">
        <v>38</v>
      </c>
      <c r="B39">
        <v>22</v>
      </c>
      <c r="C39" t="s">
        <v>8</v>
      </c>
      <c r="D39" t="s">
        <v>11</v>
      </c>
      <c r="E39">
        <v>75</v>
      </c>
      <c r="F39" s="1">
        <v>45329</v>
      </c>
    </row>
    <row r="40" spans="1:6" x14ac:dyDescent="0.35">
      <c r="A40">
        <v>39</v>
      </c>
      <c r="B40">
        <v>35</v>
      </c>
      <c r="C40" t="s">
        <v>6</v>
      </c>
      <c r="D40" t="s">
        <v>12</v>
      </c>
      <c r="E40">
        <v>75</v>
      </c>
      <c r="F40" s="1">
        <v>45330</v>
      </c>
    </row>
    <row r="41" spans="1:6" x14ac:dyDescent="0.35">
      <c r="A41">
        <v>40</v>
      </c>
      <c r="B41">
        <v>28</v>
      </c>
      <c r="C41" t="s">
        <v>8</v>
      </c>
      <c r="D41" t="s">
        <v>7</v>
      </c>
      <c r="E41">
        <v>100</v>
      </c>
      <c r="F41" s="1">
        <v>45331</v>
      </c>
    </row>
    <row r="42" spans="1:6" x14ac:dyDescent="0.35">
      <c r="A42">
        <v>41</v>
      </c>
      <c r="B42">
        <v>22</v>
      </c>
      <c r="C42" t="s">
        <v>6</v>
      </c>
      <c r="D42" t="s">
        <v>7</v>
      </c>
      <c r="E42">
        <v>50</v>
      </c>
      <c r="F42" s="1">
        <v>45332</v>
      </c>
    </row>
    <row r="43" spans="1:6" x14ac:dyDescent="0.35">
      <c r="A43">
        <v>42</v>
      </c>
      <c r="B43">
        <v>28</v>
      </c>
      <c r="E43">
        <v>100</v>
      </c>
      <c r="F43" s="1">
        <v>45333</v>
      </c>
    </row>
    <row r="44" spans="1:6" x14ac:dyDescent="0.35">
      <c r="A44">
        <v>43</v>
      </c>
      <c r="B44">
        <v>18</v>
      </c>
      <c r="C44" t="s">
        <v>6</v>
      </c>
      <c r="D44" t="s">
        <v>10</v>
      </c>
      <c r="E44">
        <v>75</v>
      </c>
      <c r="F44" s="1">
        <v>45334</v>
      </c>
    </row>
    <row r="45" spans="1:6" x14ac:dyDescent="0.35">
      <c r="A45">
        <v>44</v>
      </c>
      <c r="B45">
        <v>45</v>
      </c>
      <c r="C45" t="s">
        <v>8</v>
      </c>
      <c r="D45" t="s">
        <v>10</v>
      </c>
      <c r="E45">
        <v>100</v>
      </c>
      <c r="F45" s="1">
        <v>45335</v>
      </c>
    </row>
    <row r="46" spans="1:6" x14ac:dyDescent="0.35">
      <c r="A46">
        <v>45</v>
      </c>
      <c r="B46">
        <v>25</v>
      </c>
      <c r="C46" t="s">
        <v>8</v>
      </c>
      <c r="D46" t="s">
        <v>11</v>
      </c>
      <c r="E46">
        <v>50</v>
      </c>
      <c r="F46" s="1">
        <v>45336</v>
      </c>
    </row>
    <row r="47" spans="1:6" x14ac:dyDescent="0.35">
      <c r="A47">
        <v>46</v>
      </c>
      <c r="B47">
        <v>35</v>
      </c>
      <c r="C47" t="s">
        <v>6</v>
      </c>
      <c r="D47" t="s">
        <v>9</v>
      </c>
      <c r="E47">
        <v>300</v>
      </c>
      <c r="F47" s="1">
        <v>45337</v>
      </c>
    </row>
    <row r="48" spans="1:6" x14ac:dyDescent="0.35">
      <c r="A48">
        <v>47</v>
      </c>
      <c r="B48">
        <v>25</v>
      </c>
      <c r="C48" t="s">
        <v>8</v>
      </c>
      <c r="E48">
        <v>150</v>
      </c>
      <c r="F48" s="1">
        <v>45338</v>
      </c>
    </row>
    <row r="49" spans="1:6" x14ac:dyDescent="0.35">
      <c r="A49">
        <v>48</v>
      </c>
      <c r="B49">
        <v>30</v>
      </c>
      <c r="D49" t="s">
        <v>11</v>
      </c>
      <c r="E49">
        <v>150</v>
      </c>
      <c r="F49" s="1">
        <v>45339</v>
      </c>
    </row>
    <row r="50" spans="1:6" x14ac:dyDescent="0.35">
      <c r="A50">
        <v>49</v>
      </c>
      <c r="B50">
        <v>30</v>
      </c>
      <c r="D50" t="s">
        <v>10</v>
      </c>
      <c r="E50">
        <v>200</v>
      </c>
      <c r="F50" s="1">
        <v>45340</v>
      </c>
    </row>
    <row r="51" spans="1:6" x14ac:dyDescent="0.35">
      <c r="A51">
        <v>50</v>
      </c>
      <c r="B51">
        <v>22</v>
      </c>
      <c r="C51" t="s">
        <v>6</v>
      </c>
      <c r="D51" t="s">
        <v>7</v>
      </c>
      <c r="E51">
        <v>100</v>
      </c>
      <c r="F51" s="1">
        <v>45341</v>
      </c>
    </row>
    <row r="52" spans="1:6" x14ac:dyDescent="0.35">
      <c r="A52">
        <v>51</v>
      </c>
      <c r="C52" t="s">
        <v>8</v>
      </c>
      <c r="D52" t="s">
        <v>11</v>
      </c>
      <c r="E52">
        <v>50</v>
      </c>
      <c r="F52" s="1">
        <v>45342</v>
      </c>
    </row>
    <row r="53" spans="1:6" x14ac:dyDescent="0.35">
      <c r="A53">
        <v>52</v>
      </c>
      <c r="B53">
        <v>35</v>
      </c>
      <c r="C53" t="s">
        <v>8</v>
      </c>
      <c r="D53" t="s">
        <v>12</v>
      </c>
      <c r="E53">
        <v>150</v>
      </c>
      <c r="F53" s="1">
        <v>45343</v>
      </c>
    </row>
    <row r="54" spans="1:6" x14ac:dyDescent="0.35">
      <c r="A54">
        <v>53</v>
      </c>
      <c r="B54">
        <v>45</v>
      </c>
      <c r="C54" t="s">
        <v>6</v>
      </c>
      <c r="D54" t="s">
        <v>10</v>
      </c>
      <c r="E54">
        <v>150</v>
      </c>
      <c r="F54" s="1">
        <v>45344</v>
      </c>
    </row>
    <row r="55" spans="1:6" x14ac:dyDescent="0.35">
      <c r="A55">
        <v>54</v>
      </c>
      <c r="B55">
        <v>40</v>
      </c>
      <c r="C55" t="s">
        <v>8</v>
      </c>
      <c r="D55" t="s">
        <v>9</v>
      </c>
      <c r="E55">
        <v>200</v>
      </c>
      <c r="F55" s="1">
        <v>45345</v>
      </c>
    </row>
    <row r="56" spans="1:6" x14ac:dyDescent="0.35">
      <c r="A56">
        <v>55</v>
      </c>
      <c r="B56">
        <v>30</v>
      </c>
      <c r="C56" t="s">
        <v>8</v>
      </c>
      <c r="D56" t="s">
        <v>7</v>
      </c>
      <c r="E56">
        <v>100</v>
      </c>
      <c r="F56" s="1">
        <v>45346</v>
      </c>
    </row>
    <row r="57" spans="1:6" x14ac:dyDescent="0.35">
      <c r="A57">
        <v>56</v>
      </c>
      <c r="B57">
        <v>45</v>
      </c>
      <c r="C57" t="s">
        <v>6</v>
      </c>
      <c r="D57" t="s">
        <v>10</v>
      </c>
      <c r="E57">
        <v>50</v>
      </c>
      <c r="F57" s="1">
        <v>45347</v>
      </c>
    </row>
    <row r="58" spans="1:6" x14ac:dyDescent="0.35">
      <c r="A58">
        <v>57</v>
      </c>
      <c r="B58">
        <v>22</v>
      </c>
      <c r="C58" t="s">
        <v>6</v>
      </c>
      <c r="D58" t="s">
        <v>7</v>
      </c>
      <c r="E58">
        <v>75</v>
      </c>
      <c r="F58" s="1">
        <v>45348</v>
      </c>
    </row>
    <row r="59" spans="1:6" x14ac:dyDescent="0.35">
      <c r="A59">
        <v>58</v>
      </c>
      <c r="B59">
        <v>22</v>
      </c>
      <c r="C59" t="s">
        <v>6</v>
      </c>
      <c r="D59" t="s">
        <v>10</v>
      </c>
      <c r="E59">
        <v>100</v>
      </c>
      <c r="F59" s="1">
        <v>45349</v>
      </c>
    </row>
    <row r="60" spans="1:6" x14ac:dyDescent="0.35">
      <c r="A60">
        <v>59</v>
      </c>
      <c r="B60">
        <v>18</v>
      </c>
      <c r="C60" t="s">
        <v>6</v>
      </c>
      <c r="D60" t="s">
        <v>7</v>
      </c>
      <c r="E60">
        <v>150</v>
      </c>
      <c r="F60" s="1">
        <v>45350</v>
      </c>
    </row>
    <row r="61" spans="1:6" x14ac:dyDescent="0.35">
      <c r="A61">
        <v>60</v>
      </c>
      <c r="B61">
        <v>25</v>
      </c>
      <c r="C61" t="s">
        <v>8</v>
      </c>
      <c r="D61" t="s">
        <v>7</v>
      </c>
      <c r="E61">
        <v>150</v>
      </c>
      <c r="F61" s="1">
        <v>45351</v>
      </c>
    </row>
    <row r="62" spans="1:6" x14ac:dyDescent="0.35">
      <c r="A62">
        <v>61</v>
      </c>
      <c r="B62">
        <v>28</v>
      </c>
      <c r="C62" t="s">
        <v>6</v>
      </c>
      <c r="D62" t="s">
        <v>7</v>
      </c>
      <c r="E62">
        <v>100</v>
      </c>
      <c r="F62" s="1">
        <v>45352</v>
      </c>
    </row>
    <row r="63" spans="1:6" x14ac:dyDescent="0.35">
      <c r="A63">
        <v>62</v>
      </c>
      <c r="B63">
        <v>25</v>
      </c>
      <c r="D63" t="s">
        <v>12</v>
      </c>
      <c r="F63" s="1">
        <v>45353</v>
      </c>
    </row>
    <row r="64" spans="1:6" x14ac:dyDescent="0.35">
      <c r="A64">
        <v>63</v>
      </c>
      <c r="B64">
        <v>40</v>
      </c>
      <c r="C64" t="s">
        <v>8</v>
      </c>
      <c r="D64" t="s">
        <v>12</v>
      </c>
      <c r="E64">
        <v>150</v>
      </c>
      <c r="F64" s="1">
        <v>45354</v>
      </c>
    </row>
    <row r="65" spans="1:6" x14ac:dyDescent="0.35">
      <c r="A65">
        <v>64</v>
      </c>
      <c r="B65">
        <v>28</v>
      </c>
      <c r="C65" t="s">
        <v>6</v>
      </c>
      <c r="D65" t="s">
        <v>12</v>
      </c>
      <c r="E65">
        <v>75</v>
      </c>
      <c r="F65" s="1">
        <v>45355</v>
      </c>
    </row>
    <row r="66" spans="1:6" x14ac:dyDescent="0.35">
      <c r="A66">
        <v>65</v>
      </c>
      <c r="B66">
        <v>25</v>
      </c>
      <c r="C66" t="s">
        <v>6</v>
      </c>
      <c r="E66">
        <v>50</v>
      </c>
      <c r="F66" s="1">
        <v>45356</v>
      </c>
    </row>
    <row r="67" spans="1:6" x14ac:dyDescent="0.35">
      <c r="A67">
        <v>66</v>
      </c>
      <c r="B67">
        <v>30</v>
      </c>
      <c r="C67" t="s">
        <v>6</v>
      </c>
      <c r="D67" t="s">
        <v>10</v>
      </c>
      <c r="E67">
        <v>75</v>
      </c>
      <c r="F67" s="1">
        <v>45357</v>
      </c>
    </row>
    <row r="68" spans="1:6" x14ac:dyDescent="0.35">
      <c r="A68">
        <v>67</v>
      </c>
      <c r="B68">
        <v>22</v>
      </c>
      <c r="C68" t="s">
        <v>6</v>
      </c>
      <c r="D68" t="s">
        <v>7</v>
      </c>
      <c r="E68">
        <v>75</v>
      </c>
      <c r="F68" s="1">
        <v>45358</v>
      </c>
    </row>
    <row r="69" spans="1:6" x14ac:dyDescent="0.35">
      <c r="A69">
        <v>68</v>
      </c>
      <c r="B69">
        <v>40</v>
      </c>
      <c r="C69" t="s">
        <v>6</v>
      </c>
      <c r="D69" t="s">
        <v>11</v>
      </c>
      <c r="E69">
        <v>75</v>
      </c>
      <c r="F69" s="1">
        <v>45359</v>
      </c>
    </row>
    <row r="70" spans="1:6" x14ac:dyDescent="0.35">
      <c r="A70">
        <v>69</v>
      </c>
      <c r="B70">
        <v>18</v>
      </c>
      <c r="C70" t="s">
        <v>8</v>
      </c>
      <c r="D70" t="s">
        <v>7</v>
      </c>
      <c r="E70">
        <v>75</v>
      </c>
      <c r="F70" s="1">
        <v>45360</v>
      </c>
    </row>
    <row r="71" spans="1:6" x14ac:dyDescent="0.35">
      <c r="A71">
        <v>70</v>
      </c>
      <c r="C71" t="s">
        <v>8</v>
      </c>
      <c r="E71">
        <v>75</v>
      </c>
      <c r="F71" s="1">
        <v>45361</v>
      </c>
    </row>
    <row r="72" spans="1:6" x14ac:dyDescent="0.35">
      <c r="A72">
        <v>71</v>
      </c>
      <c r="B72">
        <v>35</v>
      </c>
      <c r="C72" t="s">
        <v>6</v>
      </c>
      <c r="D72" t="s">
        <v>7</v>
      </c>
      <c r="E72">
        <v>75</v>
      </c>
      <c r="F72" s="1">
        <v>45362</v>
      </c>
    </row>
    <row r="73" spans="1:6" x14ac:dyDescent="0.35">
      <c r="A73">
        <v>72</v>
      </c>
      <c r="B73">
        <v>22</v>
      </c>
      <c r="C73" t="s">
        <v>6</v>
      </c>
      <c r="E73">
        <v>300</v>
      </c>
      <c r="F73" s="1">
        <v>45363</v>
      </c>
    </row>
    <row r="74" spans="1:6" x14ac:dyDescent="0.35">
      <c r="A74">
        <v>73</v>
      </c>
      <c r="B74">
        <v>18</v>
      </c>
      <c r="C74" t="s">
        <v>6</v>
      </c>
      <c r="D74" t="s">
        <v>7</v>
      </c>
      <c r="E74">
        <v>50</v>
      </c>
      <c r="F74" s="1">
        <v>45364</v>
      </c>
    </row>
    <row r="75" spans="1:6" x14ac:dyDescent="0.35">
      <c r="A75">
        <v>74</v>
      </c>
      <c r="B75">
        <v>40</v>
      </c>
      <c r="C75" t="s">
        <v>6</v>
      </c>
      <c r="D75" t="s">
        <v>11</v>
      </c>
      <c r="E75">
        <v>150</v>
      </c>
      <c r="F75" s="1">
        <v>45365</v>
      </c>
    </row>
    <row r="76" spans="1:6" x14ac:dyDescent="0.35">
      <c r="A76">
        <v>75</v>
      </c>
      <c r="B76">
        <v>35</v>
      </c>
      <c r="C76" t="s">
        <v>6</v>
      </c>
      <c r="D76" t="s">
        <v>10</v>
      </c>
      <c r="E76">
        <v>100</v>
      </c>
      <c r="F76" s="1">
        <v>45366</v>
      </c>
    </row>
    <row r="77" spans="1:6" x14ac:dyDescent="0.35">
      <c r="A77">
        <v>76</v>
      </c>
      <c r="B77">
        <v>35</v>
      </c>
      <c r="C77" t="s">
        <v>6</v>
      </c>
      <c r="F77" s="1">
        <v>45367</v>
      </c>
    </row>
    <row r="78" spans="1:6" x14ac:dyDescent="0.35">
      <c r="A78">
        <v>77</v>
      </c>
      <c r="B78">
        <v>35</v>
      </c>
      <c r="C78" t="s">
        <v>6</v>
      </c>
      <c r="D78" t="s">
        <v>7</v>
      </c>
      <c r="E78">
        <v>50</v>
      </c>
      <c r="F78" s="1">
        <v>45368</v>
      </c>
    </row>
    <row r="79" spans="1:6" x14ac:dyDescent="0.35">
      <c r="A79">
        <v>78</v>
      </c>
      <c r="B79">
        <v>18</v>
      </c>
      <c r="C79" t="s">
        <v>6</v>
      </c>
      <c r="D79" t="s">
        <v>12</v>
      </c>
      <c r="E79">
        <v>100</v>
      </c>
      <c r="F79" s="1">
        <v>45369</v>
      </c>
    </row>
    <row r="80" spans="1:6" x14ac:dyDescent="0.35">
      <c r="A80">
        <v>79</v>
      </c>
      <c r="B80">
        <v>28</v>
      </c>
      <c r="C80" t="s">
        <v>6</v>
      </c>
      <c r="E80">
        <v>500</v>
      </c>
      <c r="F80" s="1">
        <v>45370</v>
      </c>
    </row>
    <row r="81" spans="1:6" x14ac:dyDescent="0.35">
      <c r="A81">
        <v>80</v>
      </c>
      <c r="B81">
        <v>22</v>
      </c>
      <c r="C81" t="s">
        <v>6</v>
      </c>
      <c r="D81" t="s">
        <v>10</v>
      </c>
      <c r="E81">
        <v>300</v>
      </c>
      <c r="F81" s="1">
        <v>45371</v>
      </c>
    </row>
    <row r="82" spans="1:6" x14ac:dyDescent="0.35">
      <c r="A82">
        <v>81</v>
      </c>
      <c r="B82">
        <v>40</v>
      </c>
      <c r="C82" t="s">
        <v>6</v>
      </c>
      <c r="D82" t="s">
        <v>12</v>
      </c>
      <c r="E82">
        <v>200</v>
      </c>
      <c r="F82" s="1">
        <v>45372</v>
      </c>
    </row>
    <row r="83" spans="1:6" x14ac:dyDescent="0.35">
      <c r="A83">
        <v>82</v>
      </c>
      <c r="B83">
        <v>30</v>
      </c>
      <c r="C83" t="s">
        <v>8</v>
      </c>
      <c r="D83" t="s">
        <v>12</v>
      </c>
      <c r="E83">
        <v>75</v>
      </c>
      <c r="F83" s="1">
        <v>45373</v>
      </c>
    </row>
    <row r="84" spans="1:6" x14ac:dyDescent="0.35">
      <c r="A84">
        <v>83</v>
      </c>
      <c r="B84">
        <v>25</v>
      </c>
      <c r="C84" t="s">
        <v>8</v>
      </c>
      <c r="D84" t="s">
        <v>10</v>
      </c>
      <c r="E84">
        <v>75</v>
      </c>
      <c r="F84" s="1">
        <v>45374</v>
      </c>
    </row>
    <row r="85" spans="1:6" x14ac:dyDescent="0.35">
      <c r="A85">
        <v>84</v>
      </c>
      <c r="B85">
        <v>18</v>
      </c>
      <c r="C85" t="s">
        <v>8</v>
      </c>
      <c r="D85" t="s">
        <v>12</v>
      </c>
      <c r="E85">
        <v>150</v>
      </c>
      <c r="F85" s="1">
        <v>45375</v>
      </c>
    </row>
    <row r="86" spans="1:6" x14ac:dyDescent="0.35">
      <c r="A86">
        <v>85</v>
      </c>
      <c r="B86">
        <v>25</v>
      </c>
      <c r="C86" t="s">
        <v>6</v>
      </c>
      <c r="D86" t="s">
        <v>12</v>
      </c>
      <c r="E86">
        <v>300</v>
      </c>
      <c r="F86" s="1">
        <v>45376</v>
      </c>
    </row>
    <row r="87" spans="1:6" x14ac:dyDescent="0.35">
      <c r="A87">
        <v>86</v>
      </c>
      <c r="B87">
        <v>25</v>
      </c>
      <c r="C87" t="s">
        <v>8</v>
      </c>
      <c r="D87" t="s">
        <v>9</v>
      </c>
      <c r="E87">
        <v>150</v>
      </c>
      <c r="F87" s="1">
        <v>45377</v>
      </c>
    </row>
    <row r="88" spans="1:6" x14ac:dyDescent="0.35">
      <c r="A88">
        <v>87</v>
      </c>
      <c r="B88">
        <v>35</v>
      </c>
      <c r="C88" t="s">
        <v>8</v>
      </c>
      <c r="D88" t="s">
        <v>7</v>
      </c>
      <c r="E88">
        <v>150</v>
      </c>
      <c r="F88" s="1">
        <v>45378</v>
      </c>
    </row>
    <row r="89" spans="1:6" x14ac:dyDescent="0.35">
      <c r="A89">
        <v>88</v>
      </c>
      <c r="B89">
        <v>30</v>
      </c>
      <c r="C89" t="s">
        <v>6</v>
      </c>
      <c r="D89" t="s">
        <v>7</v>
      </c>
      <c r="E89">
        <v>75</v>
      </c>
      <c r="F89" s="1">
        <v>45379</v>
      </c>
    </row>
    <row r="90" spans="1:6" x14ac:dyDescent="0.35">
      <c r="A90">
        <v>89</v>
      </c>
      <c r="B90">
        <v>40</v>
      </c>
      <c r="C90" t="s">
        <v>8</v>
      </c>
      <c r="E90">
        <v>200</v>
      </c>
      <c r="F90" s="1">
        <v>45380</v>
      </c>
    </row>
    <row r="91" spans="1:6" x14ac:dyDescent="0.35">
      <c r="A91">
        <v>90</v>
      </c>
      <c r="B91">
        <v>28</v>
      </c>
      <c r="C91" t="s">
        <v>6</v>
      </c>
      <c r="D91" t="s">
        <v>11</v>
      </c>
      <c r="E91">
        <v>75</v>
      </c>
      <c r="F91" s="1">
        <v>45381</v>
      </c>
    </row>
    <row r="92" spans="1:6" x14ac:dyDescent="0.35">
      <c r="A92">
        <v>91</v>
      </c>
      <c r="B92">
        <v>22</v>
      </c>
      <c r="C92" t="s">
        <v>8</v>
      </c>
      <c r="D92" t="s">
        <v>10</v>
      </c>
      <c r="E92">
        <v>100</v>
      </c>
      <c r="F92" s="1">
        <v>45382</v>
      </c>
    </row>
    <row r="93" spans="1:6" x14ac:dyDescent="0.35">
      <c r="A93">
        <v>92</v>
      </c>
      <c r="B93">
        <v>35</v>
      </c>
      <c r="C93" t="s">
        <v>8</v>
      </c>
      <c r="D93" t="s">
        <v>12</v>
      </c>
      <c r="E93">
        <v>100</v>
      </c>
      <c r="F93" s="1">
        <v>45383</v>
      </c>
    </row>
    <row r="94" spans="1:6" x14ac:dyDescent="0.35">
      <c r="A94">
        <v>93</v>
      </c>
      <c r="B94">
        <v>35</v>
      </c>
      <c r="C94" t="s">
        <v>6</v>
      </c>
      <c r="D94" t="s">
        <v>7</v>
      </c>
      <c r="E94">
        <v>150</v>
      </c>
      <c r="F94" s="1">
        <v>45384</v>
      </c>
    </row>
    <row r="95" spans="1:6" x14ac:dyDescent="0.35">
      <c r="A95">
        <v>94</v>
      </c>
      <c r="B95">
        <v>30</v>
      </c>
      <c r="C95" t="s">
        <v>8</v>
      </c>
      <c r="D95" t="s">
        <v>7</v>
      </c>
      <c r="E95">
        <v>75</v>
      </c>
      <c r="F95" s="1">
        <v>45385</v>
      </c>
    </row>
    <row r="96" spans="1:6" x14ac:dyDescent="0.35">
      <c r="A96">
        <v>95</v>
      </c>
      <c r="B96">
        <v>35</v>
      </c>
      <c r="C96" t="s">
        <v>8</v>
      </c>
      <c r="D96" t="s">
        <v>10</v>
      </c>
      <c r="E96">
        <v>50</v>
      </c>
      <c r="F96" s="1">
        <v>45386</v>
      </c>
    </row>
    <row r="97" spans="1:6" x14ac:dyDescent="0.35">
      <c r="A97">
        <v>96</v>
      </c>
      <c r="B97">
        <v>28</v>
      </c>
      <c r="C97" t="s">
        <v>6</v>
      </c>
      <c r="D97" t="s">
        <v>10</v>
      </c>
      <c r="E97">
        <v>150</v>
      </c>
      <c r="F97" s="1">
        <v>45387</v>
      </c>
    </row>
    <row r="98" spans="1:6" x14ac:dyDescent="0.35">
      <c r="A98">
        <v>97</v>
      </c>
      <c r="B98">
        <v>30</v>
      </c>
      <c r="C98" t="s">
        <v>6</v>
      </c>
      <c r="D98" t="s">
        <v>12</v>
      </c>
      <c r="E98">
        <v>75</v>
      </c>
      <c r="F98" s="1">
        <v>45388</v>
      </c>
    </row>
    <row r="99" spans="1:6" x14ac:dyDescent="0.35">
      <c r="A99">
        <v>98</v>
      </c>
      <c r="B99">
        <v>28</v>
      </c>
      <c r="C99" t="s">
        <v>8</v>
      </c>
      <c r="D99" t="s">
        <v>7</v>
      </c>
      <c r="E99">
        <v>150</v>
      </c>
      <c r="F99" s="1">
        <v>45389</v>
      </c>
    </row>
    <row r="100" spans="1:6" x14ac:dyDescent="0.35">
      <c r="A100">
        <v>99</v>
      </c>
      <c r="B100">
        <v>18</v>
      </c>
      <c r="C100" t="s">
        <v>6</v>
      </c>
      <c r="E100">
        <v>75</v>
      </c>
      <c r="F100" s="1">
        <v>45390</v>
      </c>
    </row>
    <row r="101" spans="1:6" x14ac:dyDescent="0.35">
      <c r="A101">
        <v>100</v>
      </c>
      <c r="B101">
        <v>22</v>
      </c>
      <c r="C101" t="s">
        <v>8</v>
      </c>
      <c r="E101">
        <v>100</v>
      </c>
      <c r="F101" s="1">
        <v>45391</v>
      </c>
    </row>
    <row r="102" spans="1:6" x14ac:dyDescent="0.35">
      <c r="A102">
        <v>101</v>
      </c>
      <c r="B102">
        <v>18</v>
      </c>
      <c r="C102" t="s">
        <v>8</v>
      </c>
      <c r="D102" t="s">
        <v>12</v>
      </c>
      <c r="E102">
        <v>150</v>
      </c>
      <c r="F102" s="1">
        <v>45392</v>
      </c>
    </row>
    <row r="103" spans="1:6" x14ac:dyDescent="0.35">
      <c r="A103">
        <v>102</v>
      </c>
      <c r="B103">
        <v>30</v>
      </c>
      <c r="C103" t="s">
        <v>6</v>
      </c>
      <c r="D103" t="s">
        <v>10</v>
      </c>
      <c r="E103">
        <v>50</v>
      </c>
      <c r="F103" s="1">
        <v>45393</v>
      </c>
    </row>
    <row r="104" spans="1:6" x14ac:dyDescent="0.35">
      <c r="A104">
        <v>103</v>
      </c>
      <c r="B104">
        <v>25</v>
      </c>
      <c r="C104" t="s">
        <v>6</v>
      </c>
      <c r="D104" t="s">
        <v>10</v>
      </c>
      <c r="E104">
        <v>100</v>
      </c>
      <c r="F104" s="1">
        <v>45394</v>
      </c>
    </row>
    <row r="105" spans="1:6" x14ac:dyDescent="0.35">
      <c r="A105">
        <v>104</v>
      </c>
      <c r="B105">
        <v>30</v>
      </c>
      <c r="C105" t="s">
        <v>6</v>
      </c>
      <c r="D105" t="s">
        <v>11</v>
      </c>
      <c r="E105">
        <v>50</v>
      </c>
      <c r="F105" s="1">
        <v>45395</v>
      </c>
    </row>
    <row r="106" spans="1:6" x14ac:dyDescent="0.35">
      <c r="A106">
        <v>105</v>
      </c>
      <c r="B106">
        <v>45</v>
      </c>
      <c r="C106" t="s">
        <v>6</v>
      </c>
      <c r="D106" t="s">
        <v>12</v>
      </c>
      <c r="E106">
        <v>50</v>
      </c>
      <c r="F106" s="1">
        <v>45396</v>
      </c>
    </row>
    <row r="107" spans="1:6" x14ac:dyDescent="0.35">
      <c r="A107">
        <v>106</v>
      </c>
      <c r="B107">
        <v>25</v>
      </c>
      <c r="D107" t="s">
        <v>7</v>
      </c>
      <c r="F107" s="1">
        <v>45397</v>
      </c>
    </row>
    <row r="108" spans="1:6" x14ac:dyDescent="0.35">
      <c r="A108">
        <v>107</v>
      </c>
      <c r="B108">
        <v>28</v>
      </c>
      <c r="C108" t="s">
        <v>6</v>
      </c>
      <c r="D108" t="s">
        <v>9</v>
      </c>
      <c r="E108">
        <v>100</v>
      </c>
      <c r="F108" s="1">
        <v>45398</v>
      </c>
    </row>
    <row r="109" spans="1:6" x14ac:dyDescent="0.35">
      <c r="A109">
        <v>108</v>
      </c>
      <c r="B109">
        <v>35</v>
      </c>
      <c r="C109" t="s">
        <v>8</v>
      </c>
      <c r="D109" t="s">
        <v>11</v>
      </c>
      <c r="E109">
        <v>200</v>
      </c>
      <c r="F109" s="1">
        <v>45399</v>
      </c>
    </row>
    <row r="110" spans="1:6" x14ac:dyDescent="0.35">
      <c r="A110">
        <v>109</v>
      </c>
      <c r="B110">
        <v>25</v>
      </c>
      <c r="C110" t="s">
        <v>6</v>
      </c>
      <c r="D110" t="s">
        <v>9</v>
      </c>
      <c r="E110">
        <v>75</v>
      </c>
      <c r="F110" s="1">
        <v>45400</v>
      </c>
    </row>
    <row r="111" spans="1:6" x14ac:dyDescent="0.35">
      <c r="A111">
        <v>110</v>
      </c>
      <c r="B111">
        <v>18</v>
      </c>
      <c r="C111" t="s">
        <v>8</v>
      </c>
      <c r="D111" t="s">
        <v>12</v>
      </c>
      <c r="E111">
        <v>150</v>
      </c>
      <c r="F111" s="1">
        <v>45401</v>
      </c>
    </row>
    <row r="112" spans="1:6" x14ac:dyDescent="0.35">
      <c r="A112">
        <v>111</v>
      </c>
      <c r="B112">
        <v>25</v>
      </c>
      <c r="C112" t="s">
        <v>8</v>
      </c>
      <c r="D112" t="s">
        <v>12</v>
      </c>
      <c r="E112">
        <v>200</v>
      </c>
      <c r="F112" s="1">
        <v>45402</v>
      </c>
    </row>
    <row r="113" spans="1:6" x14ac:dyDescent="0.35">
      <c r="A113">
        <v>112</v>
      </c>
      <c r="B113">
        <v>22</v>
      </c>
      <c r="C113" t="s">
        <v>8</v>
      </c>
      <c r="D113" t="s">
        <v>10</v>
      </c>
      <c r="E113">
        <v>150</v>
      </c>
      <c r="F113" s="1">
        <v>45403</v>
      </c>
    </row>
    <row r="114" spans="1:6" x14ac:dyDescent="0.35">
      <c r="A114">
        <v>113</v>
      </c>
      <c r="B114">
        <v>45</v>
      </c>
      <c r="C114" t="s">
        <v>8</v>
      </c>
      <c r="D114" t="s">
        <v>9</v>
      </c>
      <c r="E114">
        <v>100</v>
      </c>
      <c r="F114" s="1">
        <v>45404</v>
      </c>
    </row>
    <row r="115" spans="1:6" x14ac:dyDescent="0.35">
      <c r="A115">
        <v>114</v>
      </c>
      <c r="B115">
        <v>40</v>
      </c>
      <c r="D115" t="s">
        <v>11</v>
      </c>
      <c r="E115">
        <v>100</v>
      </c>
      <c r="F115" s="1">
        <v>45405</v>
      </c>
    </row>
    <row r="116" spans="1:6" x14ac:dyDescent="0.35">
      <c r="A116">
        <v>115</v>
      </c>
      <c r="B116">
        <v>30</v>
      </c>
      <c r="C116" t="s">
        <v>6</v>
      </c>
      <c r="D116" t="s">
        <v>7</v>
      </c>
      <c r="E116">
        <v>100</v>
      </c>
      <c r="F116" s="1">
        <v>45406</v>
      </c>
    </row>
    <row r="117" spans="1:6" x14ac:dyDescent="0.35">
      <c r="A117">
        <v>116</v>
      </c>
      <c r="B117">
        <v>40</v>
      </c>
      <c r="C117" t="s">
        <v>6</v>
      </c>
      <c r="D117" t="s">
        <v>7</v>
      </c>
      <c r="E117">
        <v>300</v>
      </c>
      <c r="F117" s="1">
        <v>45407</v>
      </c>
    </row>
    <row r="118" spans="1:6" x14ac:dyDescent="0.35">
      <c r="A118">
        <v>117</v>
      </c>
      <c r="B118">
        <v>40</v>
      </c>
      <c r="C118" t="s">
        <v>8</v>
      </c>
      <c r="D118" t="s">
        <v>10</v>
      </c>
      <c r="E118">
        <v>200</v>
      </c>
      <c r="F118" s="1">
        <v>45408</v>
      </c>
    </row>
    <row r="119" spans="1:6" x14ac:dyDescent="0.35">
      <c r="A119">
        <v>118</v>
      </c>
      <c r="B119">
        <v>22</v>
      </c>
      <c r="C119" t="s">
        <v>8</v>
      </c>
      <c r="D119" t="s">
        <v>11</v>
      </c>
      <c r="E119">
        <v>500</v>
      </c>
      <c r="F119" s="1">
        <v>45409</v>
      </c>
    </row>
    <row r="120" spans="1:6" x14ac:dyDescent="0.35">
      <c r="A120">
        <v>119</v>
      </c>
      <c r="B120">
        <v>40</v>
      </c>
      <c r="C120" t="s">
        <v>8</v>
      </c>
      <c r="E120">
        <v>50</v>
      </c>
      <c r="F120" s="1">
        <v>45410</v>
      </c>
    </row>
    <row r="121" spans="1:6" x14ac:dyDescent="0.35">
      <c r="A121">
        <v>120</v>
      </c>
      <c r="B121">
        <v>30</v>
      </c>
      <c r="C121" t="s">
        <v>8</v>
      </c>
      <c r="D121" t="s">
        <v>7</v>
      </c>
      <c r="E121">
        <v>200</v>
      </c>
      <c r="F121" s="1">
        <v>45411</v>
      </c>
    </row>
    <row r="122" spans="1:6" x14ac:dyDescent="0.35">
      <c r="A122">
        <v>121</v>
      </c>
      <c r="B122">
        <v>40</v>
      </c>
      <c r="C122" t="s">
        <v>6</v>
      </c>
      <c r="D122" t="s">
        <v>12</v>
      </c>
      <c r="E122">
        <v>300</v>
      </c>
      <c r="F122" s="1">
        <v>45412</v>
      </c>
    </row>
    <row r="123" spans="1:6" x14ac:dyDescent="0.35">
      <c r="A123">
        <v>122</v>
      </c>
      <c r="B123">
        <v>40</v>
      </c>
      <c r="C123" t="s">
        <v>6</v>
      </c>
      <c r="D123" t="s">
        <v>10</v>
      </c>
      <c r="E123">
        <v>75</v>
      </c>
      <c r="F123" s="1">
        <v>45413</v>
      </c>
    </row>
    <row r="124" spans="1:6" x14ac:dyDescent="0.35">
      <c r="A124">
        <v>123</v>
      </c>
      <c r="B124">
        <v>25</v>
      </c>
      <c r="C124" t="s">
        <v>6</v>
      </c>
      <c r="E124">
        <v>50</v>
      </c>
      <c r="F124" s="1">
        <v>45414</v>
      </c>
    </row>
    <row r="125" spans="1:6" x14ac:dyDescent="0.35">
      <c r="A125">
        <v>124</v>
      </c>
      <c r="B125">
        <v>22</v>
      </c>
      <c r="C125" t="s">
        <v>8</v>
      </c>
      <c r="D125" t="s">
        <v>11</v>
      </c>
      <c r="E125">
        <v>200</v>
      </c>
      <c r="F125" s="1">
        <v>45415</v>
      </c>
    </row>
    <row r="126" spans="1:6" x14ac:dyDescent="0.35">
      <c r="A126">
        <v>125</v>
      </c>
      <c r="B126">
        <v>25</v>
      </c>
      <c r="D126" t="s">
        <v>11</v>
      </c>
      <c r="E126">
        <v>150</v>
      </c>
      <c r="F126" s="1">
        <v>45416</v>
      </c>
    </row>
    <row r="127" spans="1:6" x14ac:dyDescent="0.35">
      <c r="A127">
        <v>126</v>
      </c>
      <c r="B127">
        <v>28</v>
      </c>
      <c r="C127" t="s">
        <v>6</v>
      </c>
      <c r="D127" t="s">
        <v>10</v>
      </c>
      <c r="E127">
        <v>200</v>
      </c>
      <c r="F127" s="1">
        <v>45417</v>
      </c>
    </row>
    <row r="128" spans="1:6" x14ac:dyDescent="0.35">
      <c r="A128">
        <v>127</v>
      </c>
      <c r="B128">
        <v>40</v>
      </c>
      <c r="C128" t="s">
        <v>6</v>
      </c>
      <c r="D128" t="s">
        <v>10</v>
      </c>
      <c r="E128">
        <v>50</v>
      </c>
      <c r="F128" s="1">
        <v>45418</v>
      </c>
    </row>
    <row r="129" spans="1:6" x14ac:dyDescent="0.35">
      <c r="A129">
        <v>128</v>
      </c>
      <c r="B129">
        <v>40</v>
      </c>
      <c r="C129" t="s">
        <v>6</v>
      </c>
      <c r="D129" t="s">
        <v>7</v>
      </c>
      <c r="E129">
        <v>200</v>
      </c>
      <c r="F129" s="1">
        <v>45419</v>
      </c>
    </row>
    <row r="130" spans="1:6" x14ac:dyDescent="0.35">
      <c r="A130">
        <v>129</v>
      </c>
      <c r="B130">
        <v>18</v>
      </c>
      <c r="C130" t="s">
        <v>8</v>
      </c>
      <c r="D130" t="s">
        <v>7</v>
      </c>
      <c r="E130">
        <v>75</v>
      </c>
      <c r="F130" s="1">
        <v>45420</v>
      </c>
    </row>
    <row r="131" spans="1:6" x14ac:dyDescent="0.35">
      <c r="A131">
        <v>130</v>
      </c>
      <c r="B131">
        <v>30</v>
      </c>
      <c r="C131" t="s">
        <v>8</v>
      </c>
      <c r="D131" t="s">
        <v>11</v>
      </c>
      <c r="E131">
        <v>75</v>
      </c>
      <c r="F131" s="1">
        <v>45421</v>
      </c>
    </row>
    <row r="132" spans="1:6" x14ac:dyDescent="0.35">
      <c r="A132">
        <v>131</v>
      </c>
      <c r="B132">
        <v>28</v>
      </c>
      <c r="C132" t="s">
        <v>8</v>
      </c>
      <c r="D132" t="s">
        <v>11</v>
      </c>
      <c r="E132">
        <v>75</v>
      </c>
      <c r="F132" s="1">
        <v>45422</v>
      </c>
    </row>
    <row r="133" spans="1:6" x14ac:dyDescent="0.35">
      <c r="A133">
        <v>132</v>
      </c>
      <c r="B133">
        <v>25</v>
      </c>
      <c r="C133" t="s">
        <v>6</v>
      </c>
      <c r="E133">
        <v>200</v>
      </c>
      <c r="F133" s="1">
        <v>45423</v>
      </c>
    </row>
    <row r="134" spans="1:6" x14ac:dyDescent="0.35">
      <c r="A134">
        <v>133</v>
      </c>
      <c r="B134">
        <v>22</v>
      </c>
      <c r="C134" t="s">
        <v>8</v>
      </c>
      <c r="E134">
        <v>150</v>
      </c>
      <c r="F134" s="1">
        <v>45424</v>
      </c>
    </row>
    <row r="135" spans="1:6" x14ac:dyDescent="0.35">
      <c r="A135">
        <v>134</v>
      </c>
      <c r="B135">
        <v>25</v>
      </c>
      <c r="C135" t="s">
        <v>8</v>
      </c>
      <c r="D135" t="s">
        <v>12</v>
      </c>
      <c r="E135">
        <v>150</v>
      </c>
      <c r="F135" s="1">
        <v>45425</v>
      </c>
    </row>
    <row r="136" spans="1:6" x14ac:dyDescent="0.35">
      <c r="A136">
        <v>135</v>
      </c>
      <c r="B136">
        <v>45</v>
      </c>
      <c r="C136" t="s">
        <v>8</v>
      </c>
      <c r="D136" t="s">
        <v>11</v>
      </c>
      <c r="E136">
        <v>100</v>
      </c>
      <c r="F136" s="1">
        <v>45426</v>
      </c>
    </row>
    <row r="137" spans="1:6" x14ac:dyDescent="0.35">
      <c r="A137">
        <v>136</v>
      </c>
      <c r="B137">
        <v>25</v>
      </c>
      <c r="C137" t="s">
        <v>8</v>
      </c>
      <c r="D137" t="s">
        <v>9</v>
      </c>
      <c r="E137">
        <v>300</v>
      </c>
      <c r="F137" s="1">
        <v>45427</v>
      </c>
    </row>
    <row r="138" spans="1:6" x14ac:dyDescent="0.35">
      <c r="A138">
        <v>137</v>
      </c>
      <c r="B138">
        <v>30</v>
      </c>
      <c r="C138" t="s">
        <v>6</v>
      </c>
      <c r="D138" t="s">
        <v>11</v>
      </c>
      <c r="E138">
        <v>100</v>
      </c>
      <c r="F138" s="1">
        <v>45428</v>
      </c>
    </row>
    <row r="139" spans="1:6" x14ac:dyDescent="0.35">
      <c r="A139">
        <v>138</v>
      </c>
      <c r="B139">
        <v>35</v>
      </c>
      <c r="C139" t="s">
        <v>6</v>
      </c>
      <c r="D139" t="s">
        <v>7</v>
      </c>
      <c r="E139">
        <v>200</v>
      </c>
      <c r="F139" s="1">
        <v>45429</v>
      </c>
    </row>
    <row r="140" spans="1:6" x14ac:dyDescent="0.35">
      <c r="A140">
        <v>139</v>
      </c>
      <c r="B140">
        <v>28</v>
      </c>
      <c r="C140" t="s">
        <v>6</v>
      </c>
      <c r="D140" t="s">
        <v>10</v>
      </c>
      <c r="E140">
        <v>100</v>
      </c>
      <c r="F140" s="1">
        <v>45430</v>
      </c>
    </row>
    <row r="141" spans="1:6" x14ac:dyDescent="0.35">
      <c r="A141">
        <v>140</v>
      </c>
      <c r="C141" t="s">
        <v>8</v>
      </c>
      <c r="D141" t="s">
        <v>7</v>
      </c>
      <c r="E141">
        <v>100</v>
      </c>
      <c r="F141" s="1">
        <v>45431</v>
      </c>
    </row>
    <row r="142" spans="1:6" x14ac:dyDescent="0.35">
      <c r="A142">
        <v>141</v>
      </c>
      <c r="C142" t="s">
        <v>6</v>
      </c>
      <c r="E142">
        <v>100</v>
      </c>
      <c r="F142" s="1">
        <v>45432</v>
      </c>
    </row>
    <row r="143" spans="1:6" x14ac:dyDescent="0.35">
      <c r="A143">
        <v>142</v>
      </c>
      <c r="B143">
        <v>25</v>
      </c>
      <c r="C143" t="s">
        <v>6</v>
      </c>
      <c r="D143" t="s">
        <v>12</v>
      </c>
      <c r="E143">
        <v>100</v>
      </c>
      <c r="F143" s="1">
        <v>45433</v>
      </c>
    </row>
    <row r="144" spans="1:6" x14ac:dyDescent="0.35">
      <c r="A144">
        <v>143</v>
      </c>
      <c r="B144">
        <v>28</v>
      </c>
      <c r="C144" t="s">
        <v>8</v>
      </c>
      <c r="D144" t="s">
        <v>7</v>
      </c>
      <c r="E144">
        <v>200</v>
      </c>
      <c r="F144" s="1">
        <v>45434</v>
      </c>
    </row>
    <row r="145" spans="1:6" x14ac:dyDescent="0.35">
      <c r="A145">
        <v>144</v>
      </c>
      <c r="B145">
        <v>25</v>
      </c>
      <c r="C145" t="s">
        <v>8</v>
      </c>
      <c r="D145" t="s">
        <v>12</v>
      </c>
      <c r="E145">
        <v>150</v>
      </c>
      <c r="F145" s="1">
        <v>45435</v>
      </c>
    </row>
    <row r="146" spans="1:6" x14ac:dyDescent="0.35">
      <c r="A146">
        <v>145</v>
      </c>
      <c r="B146">
        <v>25</v>
      </c>
      <c r="C146" t="s">
        <v>8</v>
      </c>
      <c r="D146" t="s">
        <v>12</v>
      </c>
      <c r="E146">
        <v>75</v>
      </c>
      <c r="F146" s="1">
        <v>45436</v>
      </c>
    </row>
    <row r="147" spans="1:6" x14ac:dyDescent="0.35">
      <c r="A147">
        <v>146</v>
      </c>
      <c r="B147">
        <v>18</v>
      </c>
      <c r="C147" t="s">
        <v>6</v>
      </c>
      <c r="D147" t="s">
        <v>10</v>
      </c>
      <c r="E147">
        <v>300</v>
      </c>
      <c r="F147" s="1">
        <v>45437</v>
      </c>
    </row>
    <row r="148" spans="1:6" x14ac:dyDescent="0.35">
      <c r="A148">
        <v>147</v>
      </c>
      <c r="B148">
        <v>30</v>
      </c>
      <c r="C148" t="s">
        <v>6</v>
      </c>
      <c r="D148" t="s">
        <v>7</v>
      </c>
      <c r="E148">
        <v>100</v>
      </c>
      <c r="F148" s="1">
        <v>45438</v>
      </c>
    </row>
    <row r="149" spans="1:6" x14ac:dyDescent="0.35">
      <c r="A149">
        <v>148</v>
      </c>
      <c r="B149">
        <v>30</v>
      </c>
      <c r="C149" t="s">
        <v>8</v>
      </c>
      <c r="D149" t="s">
        <v>12</v>
      </c>
      <c r="E149">
        <v>150</v>
      </c>
      <c r="F149" s="1">
        <v>45439</v>
      </c>
    </row>
    <row r="150" spans="1:6" x14ac:dyDescent="0.35">
      <c r="A150">
        <v>149</v>
      </c>
      <c r="B150">
        <v>18</v>
      </c>
      <c r="C150" t="s">
        <v>8</v>
      </c>
      <c r="D150" t="s">
        <v>10</v>
      </c>
      <c r="E150">
        <v>300</v>
      </c>
      <c r="F150" s="1">
        <v>45440</v>
      </c>
    </row>
    <row r="151" spans="1:6" x14ac:dyDescent="0.35">
      <c r="A151">
        <v>150</v>
      </c>
      <c r="B151">
        <v>25</v>
      </c>
      <c r="C151" t="s">
        <v>6</v>
      </c>
      <c r="D151" t="s">
        <v>11</v>
      </c>
      <c r="E151">
        <v>150</v>
      </c>
      <c r="F151" s="1">
        <v>45441</v>
      </c>
    </row>
    <row r="152" spans="1:6" x14ac:dyDescent="0.35">
      <c r="A152">
        <v>151</v>
      </c>
      <c r="B152">
        <v>45</v>
      </c>
      <c r="C152" t="s">
        <v>6</v>
      </c>
      <c r="D152" t="s">
        <v>10</v>
      </c>
      <c r="E152">
        <v>50</v>
      </c>
      <c r="F152" s="1">
        <v>45442</v>
      </c>
    </row>
    <row r="153" spans="1:6" x14ac:dyDescent="0.35">
      <c r="A153">
        <v>152</v>
      </c>
      <c r="B153">
        <v>25</v>
      </c>
      <c r="C153" t="s">
        <v>6</v>
      </c>
      <c r="D153" t="s">
        <v>11</v>
      </c>
      <c r="E153">
        <v>300</v>
      </c>
      <c r="F153" s="1">
        <v>45443</v>
      </c>
    </row>
    <row r="154" spans="1:6" x14ac:dyDescent="0.35">
      <c r="A154">
        <v>153</v>
      </c>
      <c r="B154">
        <v>22</v>
      </c>
      <c r="C154" t="s">
        <v>6</v>
      </c>
      <c r="D154" t="s">
        <v>12</v>
      </c>
      <c r="E154">
        <v>150</v>
      </c>
      <c r="F154" s="1">
        <v>45444</v>
      </c>
    </row>
    <row r="155" spans="1:6" x14ac:dyDescent="0.35">
      <c r="A155">
        <v>154</v>
      </c>
      <c r="B155">
        <v>28</v>
      </c>
      <c r="C155" t="s">
        <v>8</v>
      </c>
      <c r="D155" t="s">
        <v>12</v>
      </c>
      <c r="E155">
        <v>100</v>
      </c>
      <c r="F155" s="1">
        <v>45445</v>
      </c>
    </row>
    <row r="156" spans="1:6" x14ac:dyDescent="0.35">
      <c r="A156">
        <v>155</v>
      </c>
      <c r="C156" t="s">
        <v>8</v>
      </c>
      <c r="D156" t="s">
        <v>11</v>
      </c>
      <c r="E156">
        <v>50</v>
      </c>
      <c r="F156" s="1">
        <v>45446</v>
      </c>
    </row>
    <row r="157" spans="1:6" x14ac:dyDescent="0.35">
      <c r="A157">
        <v>156</v>
      </c>
      <c r="B157">
        <v>25</v>
      </c>
      <c r="C157" t="s">
        <v>6</v>
      </c>
      <c r="D157" t="s">
        <v>10</v>
      </c>
      <c r="E157">
        <v>200</v>
      </c>
      <c r="F157" s="1">
        <v>45447</v>
      </c>
    </row>
    <row r="158" spans="1:6" x14ac:dyDescent="0.35">
      <c r="A158">
        <v>157</v>
      </c>
      <c r="B158">
        <v>35</v>
      </c>
      <c r="C158" t="s">
        <v>8</v>
      </c>
      <c r="D158" t="s">
        <v>7</v>
      </c>
      <c r="E158">
        <v>150</v>
      </c>
      <c r="F158" s="1">
        <v>45448</v>
      </c>
    </row>
    <row r="159" spans="1:6" x14ac:dyDescent="0.35">
      <c r="A159">
        <v>158</v>
      </c>
      <c r="B159">
        <v>35</v>
      </c>
      <c r="C159" t="s">
        <v>6</v>
      </c>
      <c r="D159" t="s">
        <v>7</v>
      </c>
      <c r="E159">
        <v>150</v>
      </c>
      <c r="F159" s="1">
        <v>45449</v>
      </c>
    </row>
    <row r="160" spans="1:6" x14ac:dyDescent="0.35">
      <c r="A160">
        <v>159</v>
      </c>
      <c r="B160">
        <v>25</v>
      </c>
      <c r="C160" t="s">
        <v>6</v>
      </c>
      <c r="D160" t="s">
        <v>11</v>
      </c>
      <c r="E160">
        <v>300</v>
      </c>
      <c r="F160" s="1">
        <v>45450</v>
      </c>
    </row>
    <row r="161" spans="1:6" x14ac:dyDescent="0.35">
      <c r="A161">
        <v>160</v>
      </c>
      <c r="B161">
        <v>35</v>
      </c>
      <c r="C161" t="s">
        <v>6</v>
      </c>
      <c r="D161" t="s">
        <v>12</v>
      </c>
      <c r="E161">
        <v>200</v>
      </c>
      <c r="F161" s="1">
        <v>45451</v>
      </c>
    </row>
    <row r="162" spans="1:6" x14ac:dyDescent="0.35">
      <c r="A162">
        <v>161</v>
      </c>
      <c r="B162">
        <v>28</v>
      </c>
      <c r="C162" t="s">
        <v>8</v>
      </c>
      <c r="D162" t="s">
        <v>12</v>
      </c>
      <c r="E162">
        <v>75</v>
      </c>
      <c r="F162" s="1">
        <v>45452</v>
      </c>
    </row>
    <row r="163" spans="1:6" x14ac:dyDescent="0.35">
      <c r="A163">
        <v>162</v>
      </c>
      <c r="B163">
        <v>30</v>
      </c>
      <c r="C163" t="s">
        <v>6</v>
      </c>
      <c r="D163" t="s">
        <v>7</v>
      </c>
      <c r="E163">
        <v>100</v>
      </c>
      <c r="F163" s="1">
        <v>45453</v>
      </c>
    </row>
    <row r="164" spans="1:6" x14ac:dyDescent="0.35">
      <c r="A164">
        <v>163</v>
      </c>
      <c r="B164">
        <v>30</v>
      </c>
      <c r="C164" t="s">
        <v>8</v>
      </c>
      <c r="D164" t="s">
        <v>7</v>
      </c>
      <c r="E164">
        <v>75</v>
      </c>
      <c r="F164" s="1">
        <v>45454</v>
      </c>
    </row>
    <row r="165" spans="1:6" x14ac:dyDescent="0.35">
      <c r="A165">
        <v>164</v>
      </c>
      <c r="B165">
        <v>30</v>
      </c>
      <c r="C165" t="s">
        <v>6</v>
      </c>
      <c r="D165" t="s">
        <v>7</v>
      </c>
      <c r="E165">
        <v>200</v>
      </c>
      <c r="F165" s="1">
        <v>45455</v>
      </c>
    </row>
    <row r="166" spans="1:6" x14ac:dyDescent="0.35">
      <c r="A166">
        <v>165</v>
      </c>
      <c r="B166">
        <v>22</v>
      </c>
      <c r="C166" t="s">
        <v>6</v>
      </c>
      <c r="D166" t="s">
        <v>10</v>
      </c>
      <c r="E166">
        <v>50</v>
      </c>
      <c r="F166" s="1">
        <v>45456</v>
      </c>
    </row>
    <row r="167" spans="1:6" x14ac:dyDescent="0.35">
      <c r="A167">
        <v>166</v>
      </c>
      <c r="B167">
        <v>40</v>
      </c>
      <c r="C167" t="s">
        <v>8</v>
      </c>
      <c r="D167" t="s">
        <v>12</v>
      </c>
      <c r="E167">
        <v>150</v>
      </c>
      <c r="F167" s="1">
        <v>45457</v>
      </c>
    </row>
    <row r="168" spans="1:6" x14ac:dyDescent="0.35">
      <c r="A168">
        <v>167</v>
      </c>
      <c r="B168">
        <v>25</v>
      </c>
      <c r="D168" t="s">
        <v>10</v>
      </c>
      <c r="E168">
        <v>200</v>
      </c>
      <c r="F168" s="1">
        <v>45458</v>
      </c>
    </row>
    <row r="169" spans="1:6" x14ac:dyDescent="0.35">
      <c r="A169">
        <v>168</v>
      </c>
      <c r="B169">
        <v>22</v>
      </c>
      <c r="C169" t="s">
        <v>6</v>
      </c>
      <c r="D169" t="s">
        <v>10</v>
      </c>
      <c r="E169">
        <v>300</v>
      </c>
      <c r="F169" s="1">
        <v>45459</v>
      </c>
    </row>
    <row r="170" spans="1:6" x14ac:dyDescent="0.35">
      <c r="A170">
        <v>169</v>
      </c>
      <c r="B170">
        <v>18</v>
      </c>
      <c r="C170" t="s">
        <v>8</v>
      </c>
      <c r="D170" t="s">
        <v>9</v>
      </c>
      <c r="E170">
        <v>100</v>
      </c>
      <c r="F170" s="1">
        <v>45460</v>
      </c>
    </row>
    <row r="171" spans="1:6" x14ac:dyDescent="0.35">
      <c r="A171">
        <v>170</v>
      </c>
      <c r="B171">
        <v>30</v>
      </c>
      <c r="C171" t="s">
        <v>8</v>
      </c>
      <c r="D171" t="s">
        <v>10</v>
      </c>
      <c r="E171">
        <v>200</v>
      </c>
      <c r="F171" s="1">
        <v>45461</v>
      </c>
    </row>
    <row r="172" spans="1:6" x14ac:dyDescent="0.35">
      <c r="A172">
        <v>171</v>
      </c>
      <c r="B172">
        <v>35</v>
      </c>
      <c r="C172" t="s">
        <v>8</v>
      </c>
      <c r="D172" t="s">
        <v>10</v>
      </c>
      <c r="E172">
        <v>50</v>
      </c>
      <c r="F172" s="1">
        <v>45462</v>
      </c>
    </row>
    <row r="173" spans="1:6" x14ac:dyDescent="0.35">
      <c r="A173">
        <v>172</v>
      </c>
      <c r="B173">
        <v>18</v>
      </c>
      <c r="C173" t="s">
        <v>8</v>
      </c>
      <c r="D173" t="s">
        <v>11</v>
      </c>
      <c r="E173">
        <v>200</v>
      </c>
      <c r="F173" s="1">
        <v>45463</v>
      </c>
    </row>
    <row r="174" spans="1:6" x14ac:dyDescent="0.35">
      <c r="A174">
        <v>173</v>
      </c>
      <c r="B174">
        <v>30</v>
      </c>
      <c r="C174" t="s">
        <v>8</v>
      </c>
      <c r="D174" t="s">
        <v>10</v>
      </c>
      <c r="E174">
        <v>50</v>
      </c>
      <c r="F174" s="1">
        <v>45464</v>
      </c>
    </row>
    <row r="175" spans="1:6" x14ac:dyDescent="0.35">
      <c r="A175">
        <v>174</v>
      </c>
      <c r="B175">
        <v>25</v>
      </c>
      <c r="C175" t="s">
        <v>6</v>
      </c>
      <c r="D175" t="s">
        <v>12</v>
      </c>
      <c r="E175">
        <v>100</v>
      </c>
      <c r="F175" s="1">
        <v>45465</v>
      </c>
    </row>
    <row r="176" spans="1:6" x14ac:dyDescent="0.35">
      <c r="A176">
        <v>175</v>
      </c>
      <c r="B176">
        <v>30</v>
      </c>
      <c r="C176" t="s">
        <v>8</v>
      </c>
      <c r="D176" t="s">
        <v>11</v>
      </c>
      <c r="E176">
        <v>200</v>
      </c>
      <c r="F176" s="1">
        <v>45466</v>
      </c>
    </row>
    <row r="177" spans="1:6" x14ac:dyDescent="0.35">
      <c r="A177">
        <v>176</v>
      </c>
      <c r="B177">
        <v>22</v>
      </c>
      <c r="C177" t="s">
        <v>8</v>
      </c>
      <c r="D177" t="s">
        <v>9</v>
      </c>
      <c r="E177">
        <v>50</v>
      </c>
      <c r="F177" s="1">
        <v>45467</v>
      </c>
    </row>
    <row r="178" spans="1:6" x14ac:dyDescent="0.35">
      <c r="A178">
        <v>177</v>
      </c>
      <c r="B178">
        <v>35</v>
      </c>
      <c r="C178" t="s">
        <v>6</v>
      </c>
      <c r="D178" t="s">
        <v>7</v>
      </c>
      <c r="E178">
        <v>75</v>
      </c>
      <c r="F178" s="1">
        <v>45468</v>
      </c>
    </row>
    <row r="179" spans="1:6" x14ac:dyDescent="0.35">
      <c r="A179">
        <v>178</v>
      </c>
      <c r="B179">
        <v>28</v>
      </c>
      <c r="C179" t="s">
        <v>8</v>
      </c>
      <c r="D179" t="s">
        <v>9</v>
      </c>
      <c r="E179">
        <v>200</v>
      </c>
      <c r="F179" s="1">
        <v>45469</v>
      </c>
    </row>
    <row r="180" spans="1:6" x14ac:dyDescent="0.35">
      <c r="A180">
        <v>179</v>
      </c>
      <c r="B180">
        <v>45</v>
      </c>
      <c r="C180" t="s">
        <v>6</v>
      </c>
      <c r="D180" t="s">
        <v>10</v>
      </c>
      <c r="E180">
        <v>200</v>
      </c>
      <c r="F180" s="1">
        <v>45470</v>
      </c>
    </row>
    <row r="181" spans="1:6" x14ac:dyDescent="0.35">
      <c r="A181">
        <v>180</v>
      </c>
      <c r="B181">
        <v>22</v>
      </c>
      <c r="C181" t="s">
        <v>8</v>
      </c>
      <c r="D181" t="s">
        <v>7</v>
      </c>
      <c r="E181">
        <v>150</v>
      </c>
      <c r="F181" s="1">
        <v>45471</v>
      </c>
    </row>
    <row r="182" spans="1:6" x14ac:dyDescent="0.35">
      <c r="A182">
        <v>181</v>
      </c>
      <c r="B182">
        <v>25</v>
      </c>
      <c r="C182" t="s">
        <v>8</v>
      </c>
      <c r="D182" t="s">
        <v>10</v>
      </c>
      <c r="E182">
        <v>150</v>
      </c>
      <c r="F182" s="1">
        <v>45472</v>
      </c>
    </row>
    <row r="183" spans="1:6" x14ac:dyDescent="0.35">
      <c r="A183">
        <v>182</v>
      </c>
      <c r="B183">
        <v>22</v>
      </c>
      <c r="C183" t="s">
        <v>6</v>
      </c>
      <c r="E183">
        <v>150</v>
      </c>
      <c r="F183" s="1">
        <v>45473</v>
      </c>
    </row>
    <row r="184" spans="1:6" x14ac:dyDescent="0.35">
      <c r="A184">
        <v>183</v>
      </c>
      <c r="B184">
        <v>45</v>
      </c>
      <c r="C184" t="s">
        <v>6</v>
      </c>
      <c r="D184" t="s">
        <v>10</v>
      </c>
      <c r="E184">
        <v>75</v>
      </c>
      <c r="F184" s="1">
        <v>45474</v>
      </c>
    </row>
    <row r="185" spans="1:6" x14ac:dyDescent="0.35">
      <c r="A185">
        <v>184</v>
      </c>
      <c r="B185">
        <v>40</v>
      </c>
      <c r="C185" t="s">
        <v>6</v>
      </c>
      <c r="D185" t="s">
        <v>10</v>
      </c>
      <c r="E185">
        <v>100</v>
      </c>
      <c r="F185" s="1">
        <v>45475</v>
      </c>
    </row>
    <row r="186" spans="1:6" x14ac:dyDescent="0.35">
      <c r="A186">
        <v>185</v>
      </c>
      <c r="B186">
        <v>25</v>
      </c>
      <c r="C186" t="s">
        <v>6</v>
      </c>
      <c r="D186" t="s">
        <v>12</v>
      </c>
      <c r="E186">
        <v>75</v>
      </c>
      <c r="F186" s="1">
        <v>45476</v>
      </c>
    </row>
    <row r="187" spans="1:6" x14ac:dyDescent="0.35">
      <c r="A187">
        <v>186</v>
      </c>
      <c r="B187">
        <v>35</v>
      </c>
      <c r="C187" t="s">
        <v>6</v>
      </c>
      <c r="D187" t="s">
        <v>7</v>
      </c>
      <c r="E187">
        <v>300</v>
      </c>
      <c r="F187" s="1">
        <v>45477</v>
      </c>
    </row>
    <row r="188" spans="1:6" x14ac:dyDescent="0.35">
      <c r="A188">
        <v>187</v>
      </c>
      <c r="B188">
        <v>40</v>
      </c>
      <c r="C188" t="s">
        <v>8</v>
      </c>
      <c r="D188" t="s">
        <v>7</v>
      </c>
      <c r="E188">
        <v>150</v>
      </c>
      <c r="F188" s="1">
        <v>45478</v>
      </c>
    </row>
    <row r="189" spans="1:6" x14ac:dyDescent="0.35">
      <c r="A189">
        <v>188</v>
      </c>
      <c r="B189">
        <v>30</v>
      </c>
      <c r="C189" t="s">
        <v>8</v>
      </c>
      <c r="D189" t="s">
        <v>7</v>
      </c>
      <c r="E189">
        <v>100</v>
      </c>
      <c r="F189" s="1">
        <v>45479</v>
      </c>
    </row>
    <row r="190" spans="1:6" x14ac:dyDescent="0.35">
      <c r="A190">
        <v>189</v>
      </c>
      <c r="B190">
        <v>30</v>
      </c>
      <c r="C190" t="s">
        <v>6</v>
      </c>
      <c r="D190" t="s">
        <v>7</v>
      </c>
      <c r="E190">
        <v>100</v>
      </c>
      <c r="F190" s="1">
        <v>45480</v>
      </c>
    </row>
    <row r="191" spans="1:6" x14ac:dyDescent="0.35">
      <c r="A191">
        <v>190</v>
      </c>
      <c r="B191">
        <v>25</v>
      </c>
      <c r="C191" t="s">
        <v>6</v>
      </c>
      <c r="D191" t="s">
        <v>7</v>
      </c>
      <c r="E191">
        <v>300</v>
      </c>
      <c r="F191" s="1">
        <v>45481</v>
      </c>
    </row>
    <row r="192" spans="1:6" x14ac:dyDescent="0.35">
      <c r="A192">
        <v>191</v>
      </c>
      <c r="B192">
        <v>22</v>
      </c>
      <c r="D192" t="s">
        <v>7</v>
      </c>
      <c r="E192">
        <v>75</v>
      </c>
      <c r="F192" s="1">
        <v>45482</v>
      </c>
    </row>
    <row r="193" spans="1:6" x14ac:dyDescent="0.35">
      <c r="A193">
        <v>192</v>
      </c>
      <c r="B193">
        <v>40</v>
      </c>
      <c r="C193" t="s">
        <v>8</v>
      </c>
      <c r="D193" t="s">
        <v>12</v>
      </c>
      <c r="E193">
        <v>150</v>
      </c>
      <c r="F193" s="1">
        <v>45483</v>
      </c>
    </row>
    <row r="194" spans="1:6" x14ac:dyDescent="0.35">
      <c r="A194">
        <v>193</v>
      </c>
      <c r="B194">
        <v>45</v>
      </c>
      <c r="C194" t="s">
        <v>8</v>
      </c>
      <c r="D194" t="s">
        <v>7</v>
      </c>
      <c r="E194">
        <v>150</v>
      </c>
      <c r="F194" s="1">
        <v>45484</v>
      </c>
    </row>
    <row r="195" spans="1:6" x14ac:dyDescent="0.35">
      <c r="A195">
        <v>194</v>
      </c>
      <c r="B195">
        <v>30</v>
      </c>
      <c r="C195" t="s">
        <v>6</v>
      </c>
      <c r="D195" t="s">
        <v>10</v>
      </c>
      <c r="E195">
        <v>150</v>
      </c>
      <c r="F195" s="1">
        <v>45485</v>
      </c>
    </row>
    <row r="196" spans="1:6" x14ac:dyDescent="0.35">
      <c r="A196">
        <v>195</v>
      </c>
      <c r="B196">
        <v>25</v>
      </c>
      <c r="C196" t="s">
        <v>8</v>
      </c>
      <c r="D196" t="s">
        <v>11</v>
      </c>
      <c r="E196">
        <v>50</v>
      </c>
      <c r="F196" s="1">
        <v>45486</v>
      </c>
    </row>
    <row r="197" spans="1:6" x14ac:dyDescent="0.35">
      <c r="A197">
        <v>196</v>
      </c>
      <c r="B197">
        <v>25</v>
      </c>
      <c r="C197" t="s">
        <v>6</v>
      </c>
      <c r="D197" t="s">
        <v>10</v>
      </c>
      <c r="E197">
        <v>300</v>
      </c>
      <c r="F197" s="1">
        <v>45487</v>
      </c>
    </row>
    <row r="198" spans="1:6" x14ac:dyDescent="0.35">
      <c r="A198">
        <v>197</v>
      </c>
      <c r="B198">
        <v>35</v>
      </c>
      <c r="C198" t="s">
        <v>6</v>
      </c>
      <c r="D198" t="s">
        <v>12</v>
      </c>
      <c r="E198">
        <v>300</v>
      </c>
      <c r="F198" s="1">
        <v>45488</v>
      </c>
    </row>
    <row r="199" spans="1:6" x14ac:dyDescent="0.35">
      <c r="A199">
        <v>198</v>
      </c>
      <c r="B199">
        <v>40</v>
      </c>
      <c r="C199" t="s">
        <v>8</v>
      </c>
      <c r="D199" t="s">
        <v>7</v>
      </c>
      <c r="E199">
        <v>150</v>
      </c>
      <c r="F199" s="1">
        <v>45489</v>
      </c>
    </row>
    <row r="200" spans="1:6" x14ac:dyDescent="0.35">
      <c r="A200">
        <v>199</v>
      </c>
      <c r="B200">
        <v>40</v>
      </c>
      <c r="C200" t="s">
        <v>6</v>
      </c>
      <c r="D200" t="s">
        <v>7</v>
      </c>
      <c r="E200">
        <v>150</v>
      </c>
      <c r="F200" s="1">
        <v>45490</v>
      </c>
    </row>
    <row r="201" spans="1:6" x14ac:dyDescent="0.35">
      <c r="A201">
        <v>200</v>
      </c>
      <c r="B201">
        <v>35</v>
      </c>
      <c r="C201" t="s">
        <v>6</v>
      </c>
      <c r="D201" t="s">
        <v>7</v>
      </c>
      <c r="E201">
        <v>300</v>
      </c>
      <c r="F201" s="1">
        <v>45491</v>
      </c>
    </row>
    <row r="202" spans="1:6" x14ac:dyDescent="0.35">
      <c r="A202">
        <v>59</v>
      </c>
      <c r="B202">
        <v>18</v>
      </c>
      <c r="C202" t="s">
        <v>6</v>
      </c>
      <c r="D202" t="s">
        <v>7</v>
      </c>
      <c r="E202">
        <v>150</v>
      </c>
      <c r="F202" s="1">
        <v>45350</v>
      </c>
    </row>
    <row r="203" spans="1:6" x14ac:dyDescent="0.35">
      <c r="A203">
        <v>41</v>
      </c>
      <c r="B203">
        <v>22</v>
      </c>
      <c r="C203" t="s">
        <v>6</v>
      </c>
      <c r="D203" t="s">
        <v>7</v>
      </c>
      <c r="E203">
        <v>50</v>
      </c>
      <c r="F203" s="1">
        <v>45332</v>
      </c>
    </row>
    <row r="204" spans="1:6" x14ac:dyDescent="0.35">
      <c r="A204">
        <v>35</v>
      </c>
      <c r="C204" t="s">
        <v>8</v>
      </c>
      <c r="D204" t="s">
        <v>7</v>
      </c>
      <c r="E204">
        <v>50</v>
      </c>
      <c r="F204" s="1">
        <v>45326</v>
      </c>
    </row>
    <row r="205" spans="1:6" x14ac:dyDescent="0.35">
      <c r="A205">
        <v>103</v>
      </c>
      <c r="B205">
        <v>25</v>
      </c>
      <c r="C205" t="s">
        <v>6</v>
      </c>
      <c r="D205" t="s">
        <v>10</v>
      </c>
      <c r="E205">
        <v>100</v>
      </c>
      <c r="F205" s="1">
        <v>45394</v>
      </c>
    </row>
    <row r="206" spans="1:6" x14ac:dyDescent="0.35">
      <c r="A206">
        <v>185</v>
      </c>
      <c r="B206">
        <v>25</v>
      </c>
      <c r="C206" t="s">
        <v>6</v>
      </c>
      <c r="D206" t="s">
        <v>12</v>
      </c>
      <c r="E206">
        <v>75</v>
      </c>
      <c r="F206" s="1">
        <v>45476</v>
      </c>
    </row>
    <row r="207" spans="1:6" x14ac:dyDescent="0.35">
      <c r="A207">
        <v>199</v>
      </c>
      <c r="B207">
        <v>40</v>
      </c>
      <c r="C207" t="s">
        <v>6</v>
      </c>
      <c r="D207" t="s">
        <v>7</v>
      </c>
      <c r="E207">
        <v>150</v>
      </c>
      <c r="F207" s="1">
        <v>45490</v>
      </c>
    </row>
    <row r="208" spans="1:6" x14ac:dyDescent="0.35">
      <c r="A208">
        <v>96</v>
      </c>
      <c r="B208">
        <v>28</v>
      </c>
      <c r="C208" t="s">
        <v>6</v>
      </c>
      <c r="D208" t="s">
        <v>10</v>
      </c>
      <c r="E208">
        <v>150</v>
      </c>
      <c r="F208" s="1">
        <v>45387</v>
      </c>
    </row>
    <row r="209" spans="1:6" x14ac:dyDescent="0.35">
      <c r="A209">
        <v>5</v>
      </c>
      <c r="B209">
        <v>22</v>
      </c>
      <c r="C209" t="s">
        <v>6</v>
      </c>
      <c r="D209" t="s">
        <v>10</v>
      </c>
      <c r="E209">
        <v>50</v>
      </c>
      <c r="F209" s="1">
        <v>45296</v>
      </c>
    </row>
    <row r="210" spans="1:6" x14ac:dyDescent="0.35">
      <c r="A210">
        <v>30</v>
      </c>
      <c r="B210">
        <v>18</v>
      </c>
      <c r="C210" t="s">
        <v>6</v>
      </c>
      <c r="D210" t="s">
        <v>7</v>
      </c>
      <c r="E210">
        <v>75</v>
      </c>
      <c r="F210" s="1">
        <v>45321</v>
      </c>
    </row>
    <row r="211" spans="1:6" x14ac:dyDescent="0.35">
      <c r="A211">
        <v>169</v>
      </c>
      <c r="B211">
        <v>18</v>
      </c>
      <c r="C211" t="s">
        <v>8</v>
      </c>
      <c r="D211" t="s">
        <v>9</v>
      </c>
      <c r="E211">
        <v>100</v>
      </c>
      <c r="F211" s="1">
        <v>45460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6A60-819B-47D9-BDFB-AE1944BDBC10}">
  <dimension ref="A1:H201"/>
  <sheetViews>
    <sheetView topLeftCell="K1" zoomScale="31" workbookViewId="0">
      <selection activeCell="W66" sqref="W66"/>
    </sheetView>
  </sheetViews>
  <sheetFormatPr defaultRowHeight="14.5" x14ac:dyDescent="0.35"/>
  <cols>
    <col min="1" max="1" width="17.1796875" style="4" customWidth="1"/>
    <col min="2" max="2" width="8.7265625" style="4"/>
    <col min="3" max="3" width="11.08984375" customWidth="1"/>
    <col min="4" max="4" width="20.90625" customWidth="1"/>
    <col min="5" max="5" width="21.7265625" style="4" customWidth="1"/>
    <col min="6" max="6" width="17.08984375" style="4" customWidth="1"/>
    <col min="7" max="7" width="12.36328125" customWidth="1"/>
    <col min="8" max="8" width="14.08984375" customWidth="1"/>
  </cols>
  <sheetData>
    <row r="1" spans="1:8" x14ac:dyDescent="0.35">
      <c r="A1" s="7" t="s">
        <v>0</v>
      </c>
      <c r="B1" s="7" t="s">
        <v>1</v>
      </c>
      <c r="C1" s="2" t="s">
        <v>2</v>
      </c>
      <c r="D1" s="2" t="s">
        <v>3</v>
      </c>
      <c r="E1" s="8" t="s">
        <v>4</v>
      </c>
      <c r="F1" s="7" t="s">
        <v>5</v>
      </c>
      <c r="G1" s="2" t="s">
        <v>24</v>
      </c>
      <c r="H1" s="2" t="s">
        <v>29</v>
      </c>
    </row>
    <row r="2" spans="1:8" x14ac:dyDescent="0.35">
      <c r="A2" s="4">
        <v>1</v>
      </c>
      <c r="B2" s="4">
        <v>28</v>
      </c>
      <c r="C2" t="s">
        <v>6</v>
      </c>
      <c r="D2" t="s">
        <v>7</v>
      </c>
      <c r="E2" s="4">
        <v>75</v>
      </c>
      <c r="F2" s="6">
        <v>45292</v>
      </c>
      <c r="G2" t="str">
        <f>IF(B2&lt;25,"18–24",IF(B2&lt;35,"25–34",IF(B2&lt;45,"35–44","45+")))</f>
        <v>25–34</v>
      </c>
      <c r="H2" t="str">
        <f>IF(E2&lt;100,"Low",IF(E2&lt;=250,"Medium","High"))</f>
        <v>Low</v>
      </c>
    </row>
    <row r="3" spans="1:8" x14ac:dyDescent="0.35">
      <c r="A3" s="4">
        <v>2</v>
      </c>
      <c r="B3" s="4">
        <v>28</v>
      </c>
      <c r="C3" t="s">
        <v>8</v>
      </c>
      <c r="D3" t="s">
        <v>9</v>
      </c>
      <c r="E3" s="4">
        <v>75</v>
      </c>
      <c r="F3" s="6">
        <v>45293</v>
      </c>
      <c r="G3" t="str">
        <f t="shared" ref="G3:G66" si="0">IF(B3&lt;25,"18–24",IF(B3&lt;35,"25–34",IF(B3&lt;45,"35–44","45+")))</f>
        <v>25–34</v>
      </c>
      <c r="H3" t="str">
        <f t="shared" ref="H3:H66" si="1">IF(E3&lt;100,"Low",IF(E3&lt;=250,"Medium","High"))</f>
        <v>Low</v>
      </c>
    </row>
    <row r="4" spans="1:8" x14ac:dyDescent="0.35">
      <c r="A4" s="4">
        <v>3</v>
      </c>
      <c r="B4" s="4">
        <v>35</v>
      </c>
      <c r="C4" t="s">
        <v>8</v>
      </c>
      <c r="D4" t="s">
        <v>10</v>
      </c>
      <c r="E4" s="4">
        <v>75</v>
      </c>
      <c r="F4" s="6">
        <v>45294</v>
      </c>
      <c r="G4" t="str">
        <f t="shared" si="0"/>
        <v>35–44</v>
      </c>
      <c r="H4" t="str">
        <f t="shared" si="1"/>
        <v>Low</v>
      </c>
    </row>
    <row r="5" spans="1:8" x14ac:dyDescent="0.35">
      <c r="A5" s="4">
        <v>4</v>
      </c>
      <c r="B5" s="4">
        <v>30</v>
      </c>
      <c r="C5" t="s">
        <v>6</v>
      </c>
      <c r="D5" t="s">
        <v>11</v>
      </c>
      <c r="E5" s="4">
        <v>50</v>
      </c>
      <c r="F5" s="6">
        <v>45295</v>
      </c>
      <c r="G5" t="str">
        <f t="shared" si="0"/>
        <v>25–34</v>
      </c>
      <c r="H5" t="str">
        <f t="shared" si="1"/>
        <v>Low</v>
      </c>
    </row>
    <row r="6" spans="1:8" x14ac:dyDescent="0.35">
      <c r="A6" s="4">
        <v>5</v>
      </c>
      <c r="B6" s="4">
        <v>22</v>
      </c>
      <c r="C6" t="s">
        <v>6</v>
      </c>
      <c r="D6" t="s">
        <v>10</v>
      </c>
      <c r="E6" s="4">
        <v>50</v>
      </c>
      <c r="F6" s="6">
        <v>45296</v>
      </c>
      <c r="G6" t="str">
        <f t="shared" si="0"/>
        <v>18–24</v>
      </c>
      <c r="H6" t="str">
        <f t="shared" si="1"/>
        <v>Low</v>
      </c>
    </row>
    <row r="7" spans="1:8" x14ac:dyDescent="0.35">
      <c r="A7" s="4">
        <v>6</v>
      </c>
      <c r="B7" s="4">
        <v>22</v>
      </c>
      <c r="C7" t="s">
        <v>8</v>
      </c>
      <c r="D7" t="s">
        <v>11</v>
      </c>
      <c r="E7" s="4">
        <v>100</v>
      </c>
      <c r="F7" s="6">
        <v>45297</v>
      </c>
      <c r="G7" t="str">
        <f t="shared" si="0"/>
        <v>18–24</v>
      </c>
      <c r="H7" t="str">
        <f t="shared" si="1"/>
        <v>Medium</v>
      </c>
    </row>
    <row r="8" spans="1:8" x14ac:dyDescent="0.35">
      <c r="A8" s="4">
        <v>7</v>
      </c>
      <c r="B8" s="4">
        <v>18</v>
      </c>
      <c r="C8" t="s">
        <v>8</v>
      </c>
      <c r="D8" t="s">
        <v>10</v>
      </c>
      <c r="E8" s="4">
        <v>75</v>
      </c>
      <c r="F8" s="6">
        <v>45298</v>
      </c>
      <c r="G8" t="str">
        <f t="shared" si="0"/>
        <v>18–24</v>
      </c>
      <c r="H8" t="str">
        <f t="shared" si="1"/>
        <v>Low</v>
      </c>
    </row>
    <row r="9" spans="1:8" x14ac:dyDescent="0.35">
      <c r="A9" s="4">
        <v>8</v>
      </c>
      <c r="B9" s="4">
        <v>40</v>
      </c>
      <c r="C9" t="s">
        <v>6</v>
      </c>
      <c r="D9" t="s">
        <v>7</v>
      </c>
      <c r="E9" s="4">
        <v>100</v>
      </c>
      <c r="F9" s="6">
        <v>45299</v>
      </c>
      <c r="G9" t="str">
        <f t="shared" si="0"/>
        <v>35–44</v>
      </c>
      <c r="H9" t="str">
        <f t="shared" si="1"/>
        <v>Medium</v>
      </c>
    </row>
    <row r="10" spans="1:8" x14ac:dyDescent="0.35">
      <c r="A10" s="4">
        <v>9</v>
      </c>
      <c r="B10" s="4">
        <v>30</v>
      </c>
      <c r="C10" t="s">
        <v>8</v>
      </c>
      <c r="D10" t="s">
        <v>9</v>
      </c>
      <c r="E10" s="4">
        <v>150</v>
      </c>
      <c r="F10" s="6">
        <v>45300</v>
      </c>
      <c r="G10" t="str">
        <f t="shared" si="0"/>
        <v>25–34</v>
      </c>
      <c r="H10" t="str">
        <f t="shared" si="1"/>
        <v>Medium</v>
      </c>
    </row>
    <row r="11" spans="1:8" x14ac:dyDescent="0.35">
      <c r="A11" s="4">
        <v>10</v>
      </c>
      <c r="B11" s="4">
        <v>35</v>
      </c>
      <c r="C11" t="s">
        <v>8</v>
      </c>
      <c r="D11" t="s">
        <v>7</v>
      </c>
      <c r="E11" s="4">
        <v>150</v>
      </c>
      <c r="F11" s="6">
        <v>45301</v>
      </c>
      <c r="G11" t="str">
        <f t="shared" si="0"/>
        <v>35–44</v>
      </c>
      <c r="H11" t="str">
        <f t="shared" si="1"/>
        <v>Medium</v>
      </c>
    </row>
    <row r="12" spans="1:8" x14ac:dyDescent="0.35">
      <c r="A12" s="4">
        <v>11</v>
      </c>
      <c r="B12" s="4">
        <v>18</v>
      </c>
      <c r="C12" t="s">
        <v>6</v>
      </c>
      <c r="D12" t="s">
        <v>10</v>
      </c>
      <c r="E12" s="4">
        <v>50</v>
      </c>
      <c r="F12" s="6">
        <v>45302</v>
      </c>
      <c r="G12" t="str">
        <f t="shared" si="0"/>
        <v>18–24</v>
      </c>
      <c r="H12" t="str">
        <f t="shared" si="1"/>
        <v>Low</v>
      </c>
    </row>
    <row r="13" spans="1:8" x14ac:dyDescent="0.35">
      <c r="A13" s="4">
        <v>12</v>
      </c>
      <c r="B13" s="4">
        <v>28</v>
      </c>
      <c r="C13" t="s">
        <v>6</v>
      </c>
      <c r="D13" t="s">
        <v>13</v>
      </c>
      <c r="E13" s="4">
        <v>200</v>
      </c>
      <c r="F13" s="6">
        <v>45303</v>
      </c>
      <c r="G13" t="str">
        <f t="shared" si="0"/>
        <v>25–34</v>
      </c>
      <c r="H13" t="str">
        <f t="shared" si="1"/>
        <v>Medium</v>
      </c>
    </row>
    <row r="14" spans="1:8" x14ac:dyDescent="0.35">
      <c r="A14" s="4">
        <v>13</v>
      </c>
      <c r="B14" s="4">
        <v>40</v>
      </c>
      <c r="C14" t="s">
        <v>6</v>
      </c>
      <c r="D14" t="s">
        <v>13</v>
      </c>
      <c r="E14" s="4">
        <v>150</v>
      </c>
      <c r="F14" s="6">
        <v>45304</v>
      </c>
      <c r="G14" t="str">
        <f t="shared" si="0"/>
        <v>35–44</v>
      </c>
      <c r="H14" t="str">
        <f t="shared" si="1"/>
        <v>Medium</v>
      </c>
    </row>
    <row r="15" spans="1:8" x14ac:dyDescent="0.35">
      <c r="A15" s="4">
        <v>14</v>
      </c>
      <c r="B15" s="4">
        <v>25</v>
      </c>
      <c r="C15" t="s">
        <v>8</v>
      </c>
      <c r="D15" t="s">
        <v>12</v>
      </c>
      <c r="E15" s="4">
        <v>50</v>
      </c>
      <c r="F15" s="6">
        <v>45305</v>
      </c>
      <c r="G15" t="str">
        <f t="shared" si="0"/>
        <v>25–34</v>
      </c>
      <c r="H15" t="str">
        <f t="shared" si="1"/>
        <v>Low</v>
      </c>
    </row>
    <row r="16" spans="1:8" x14ac:dyDescent="0.35">
      <c r="A16" s="4">
        <v>15</v>
      </c>
      <c r="B16" s="4">
        <v>22</v>
      </c>
      <c r="C16" t="s">
        <v>6</v>
      </c>
      <c r="D16" t="s">
        <v>12</v>
      </c>
      <c r="E16" s="4">
        <v>300</v>
      </c>
      <c r="F16" s="6">
        <v>45306</v>
      </c>
      <c r="G16" t="str">
        <f t="shared" si="0"/>
        <v>18–24</v>
      </c>
      <c r="H16" t="str">
        <f t="shared" si="1"/>
        <v>High</v>
      </c>
    </row>
    <row r="17" spans="1:8" x14ac:dyDescent="0.35">
      <c r="A17" s="4">
        <v>16</v>
      </c>
      <c r="B17" s="4">
        <v>22</v>
      </c>
      <c r="C17" t="s">
        <v>8</v>
      </c>
      <c r="D17" t="s">
        <v>10</v>
      </c>
      <c r="E17" s="4">
        <v>300</v>
      </c>
      <c r="F17" s="6">
        <v>45307</v>
      </c>
      <c r="G17" t="str">
        <f t="shared" si="0"/>
        <v>18–24</v>
      </c>
      <c r="H17" t="str">
        <f t="shared" si="1"/>
        <v>High</v>
      </c>
    </row>
    <row r="18" spans="1:8" x14ac:dyDescent="0.35">
      <c r="A18" s="4">
        <v>17</v>
      </c>
      <c r="B18" s="4">
        <v>25</v>
      </c>
      <c r="C18" t="s">
        <v>8</v>
      </c>
      <c r="D18" t="s">
        <v>7</v>
      </c>
      <c r="E18" s="4">
        <v>50</v>
      </c>
      <c r="F18" s="6">
        <v>45308</v>
      </c>
      <c r="G18" t="str">
        <f t="shared" si="0"/>
        <v>25–34</v>
      </c>
      <c r="H18" t="str">
        <f t="shared" si="1"/>
        <v>Low</v>
      </c>
    </row>
    <row r="19" spans="1:8" x14ac:dyDescent="0.35">
      <c r="A19" s="4">
        <v>18</v>
      </c>
      <c r="B19" s="4">
        <v>30</v>
      </c>
      <c r="C19" t="s">
        <v>6</v>
      </c>
      <c r="D19" t="s">
        <v>10</v>
      </c>
      <c r="E19" s="4">
        <v>75</v>
      </c>
      <c r="F19" s="6">
        <v>45309</v>
      </c>
      <c r="G19" t="str">
        <f t="shared" si="0"/>
        <v>25–34</v>
      </c>
      <c r="H19" t="str">
        <f t="shared" si="1"/>
        <v>Low</v>
      </c>
    </row>
    <row r="20" spans="1:8" x14ac:dyDescent="0.35">
      <c r="A20" s="4">
        <v>19</v>
      </c>
      <c r="B20" s="4">
        <v>28</v>
      </c>
      <c r="C20" t="s">
        <v>6</v>
      </c>
      <c r="D20" t="s">
        <v>12</v>
      </c>
      <c r="E20" s="4">
        <v>200</v>
      </c>
      <c r="F20" s="6">
        <v>45310</v>
      </c>
      <c r="G20" t="str">
        <f t="shared" si="0"/>
        <v>25–34</v>
      </c>
      <c r="H20" t="str">
        <f t="shared" si="1"/>
        <v>Medium</v>
      </c>
    </row>
    <row r="21" spans="1:8" x14ac:dyDescent="0.35">
      <c r="A21" s="4">
        <v>20</v>
      </c>
      <c r="B21" s="4">
        <v>25</v>
      </c>
      <c r="C21" t="s">
        <v>6</v>
      </c>
      <c r="D21" t="s">
        <v>11</v>
      </c>
      <c r="E21" s="4">
        <v>200</v>
      </c>
      <c r="F21" s="6">
        <v>45311</v>
      </c>
      <c r="G21" t="str">
        <f t="shared" si="0"/>
        <v>25–34</v>
      </c>
      <c r="H21" t="str">
        <f t="shared" si="1"/>
        <v>Medium</v>
      </c>
    </row>
    <row r="22" spans="1:8" x14ac:dyDescent="0.35">
      <c r="A22" s="4">
        <v>21</v>
      </c>
      <c r="B22" s="4">
        <v>30</v>
      </c>
      <c r="C22" t="s">
        <v>6</v>
      </c>
      <c r="D22" t="s">
        <v>11</v>
      </c>
      <c r="E22" s="4">
        <v>75</v>
      </c>
      <c r="F22" s="6">
        <v>45312</v>
      </c>
      <c r="G22" t="str">
        <f t="shared" si="0"/>
        <v>25–34</v>
      </c>
      <c r="H22" t="str">
        <f t="shared" si="1"/>
        <v>Low</v>
      </c>
    </row>
    <row r="23" spans="1:8" x14ac:dyDescent="0.35">
      <c r="A23" s="4">
        <v>22</v>
      </c>
      <c r="B23" s="4">
        <v>22</v>
      </c>
      <c r="C23" t="s">
        <v>6</v>
      </c>
      <c r="D23" t="s">
        <v>11</v>
      </c>
      <c r="E23" s="4">
        <v>75</v>
      </c>
      <c r="F23" s="6">
        <v>45313</v>
      </c>
      <c r="G23" t="str">
        <f t="shared" si="0"/>
        <v>18–24</v>
      </c>
      <c r="H23" t="str">
        <f t="shared" si="1"/>
        <v>Low</v>
      </c>
    </row>
    <row r="24" spans="1:8" x14ac:dyDescent="0.35">
      <c r="A24" s="4">
        <v>23</v>
      </c>
      <c r="B24" s="4">
        <v>25</v>
      </c>
      <c r="C24" t="s">
        <v>8</v>
      </c>
      <c r="D24" t="s">
        <v>7</v>
      </c>
      <c r="E24" s="4">
        <v>100</v>
      </c>
      <c r="F24" s="6">
        <v>45314</v>
      </c>
      <c r="G24" t="str">
        <f t="shared" si="0"/>
        <v>25–34</v>
      </c>
      <c r="H24" t="str">
        <f t="shared" si="1"/>
        <v>Medium</v>
      </c>
    </row>
    <row r="25" spans="1:8" x14ac:dyDescent="0.35">
      <c r="A25" s="4">
        <v>24</v>
      </c>
      <c r="B25" s="4">
        <v>28</v>
      </c>
      <c r="C25" t="s">
        <v>8</v>
      </c>
      <c r="D25" t="s">
        <v>10</v>
      </c>
      <c r="E25" s="4">
        <v>100</v>
      </c>
      <c r="F25" s="6">
        <v>45315</v>
      </c>
      <c r="G25" t="str">
        <f t="shared" si="0"/>
        <v>25–34</v>
      </c>
      <c r="H25" t="str">
        <f t="shared" si="1"/>
        <v>Medium</v>
      </c>
    </row>
    <row r="26" spans="1:8" x14ac:dyDescent="0.35">
      <c r="A26" s="4">
        <v>25</v>
      </c>
      <c r="B26" s="4">
        <v>28</v>
      </c>
      <c r="C26" t="s">
        <v>8</v>
      </c>
      <c r="D26" t="s">
        <v>7</v>
      </c>
      <c r="E26" s="4">
        <v>150</v>
      </c>
      <c r="F26" s="6">
        <v>45316</v>
      </c>
      <c r="G26" t="str">
        <f t="shared" si="0"/>
        <v>25–34</v>
      </c>
      <c r="H26" t="str">
        <f t="shared" si="1"/>
        <v>Medium</v>
      </c>
    </row>
    <row r="27" spans="1:8" x14ac:dyDescent="0.35">
      <c r="A27" s="4">
        <v>26</v>
      </c>
      <c r="B27" s="4">
        <v>35</v>
      </c>
      <c r="C27" t="s">
        <v>8</v>
      </c>
      <c r="D27" t="s">
        <v>10</v>
      </c>
      <c r="E27" s="4">
        <v>100</v>
      </c>
      <c r="F27" s="6">
        <v>45317</v>
      </c>
      <c r="G27" t="str">
        <f t="shared" si="0"/>
        <v>35–44</v>
      </c>
      <c r="H27" t="str">
        <f t="shared" si="1"/>
        <v>Medium</v>
      </c>
    </row>
    <row r="28" spans="1:8" x14ac:dyDescent="0.35">
      <c r="A28" s="4">
        <v>27</v>
      </c>
      <c r="B28" s="4">
        <v>22</v>
      </c>
      <c r="C28" t="s">
        <v>13</v>
      </c>
      <c r="D28" t="s">
        <v>10</v>
      </c>
      <c r="E28" s="4">
        <v>100</v>
      </c>
      <c r="F28" s="6">
        <v>45318</v>
      </c>
      <c r="G28" t="str">
        <f t="shared" si="0"/>
        <v>18–24</v>
      </c>
      <c r="H28" t="str">
        <f t="shared" si="1"/>
        <v>Medium</v>
      </c>
    </row>
    <row r="29" spans="1:8" x14ac:dyDescent="0.35">
      <c r="A29" s="4">
        <v>28</v>
      </c>
      <c r="B29" s="4">
        <v>30</v>
      </c>
      <c r="C29" t="s">
        <v>8</v>
      </c>
      <c r="D29" t="s">
        <v>11</v>
      </c>
      <c r="E29" s="4">
        <v>200</v>
      </c>
      <c r="F29" s="6">
        <v>45319</v>
      </c>
      <c r="G29" t="str">
        <f t="shared" si="0"/>
        <v>25–34</v>
      </c>
      <c r="H29" t="str">
        <f t="shared" si="1"/>
        <v>Medium</v>
      </c>
    </row>
    <row r="30" spans="1:8" x14ac:dyDescent="0.35">
      <c r="A30" s="4">
        <v>29</v>
      </c>
      <c r="B30" s="4">
        <v>30</v>
      </c>
      <c r="C30" t="s">
        <v>6</v>
      </c>
      <c r="D30" t="s">
        <v>10</v>
      </c>
      <c r="E30" s="4">
        <v>50</v>
      </c>
      <c r="F30" s="6">
        <v>45320</v>
      </c>
      <c r="G30" t="str">
        <f t="shared" si="0"/>
        <v>25–34</v>
      </c>
      <c r="H30" t="str">
        <f t="shared" si="1"/>
        <v>Low</v>
      </c>
    </row>
    <row r="31" spans="1:8" x14ac:dyDescent="0.35">
      <c r="A31" s="4">
        <v>30</v>
      </c>
      <c r="B31" s="4">
        <v>18</v>
      </c>
      <c r="C31" t="s">
        <v>6</v>
      </c>
      <c r="D31" t="s">
        <v>7</v>
      </c>
      <c r="E31" s="4">
        <v>75</v>
      </c>
      <c r="F31" s="6">
        <v>45321</v>
      </c>
      <c r="G31" t="str">
        <f t="shared" si="0"/>
        <v>18–24</v>
      </c>
      <c r="H31" t="str">
        <f t="shared" si="1"/>
        <v>Low</v>
      </c>
    </row>
    <row r="32" spans="1:8" x14ac:dyDescent="0.35">
      <c r="A32" s="4">
        <v>31</v>
      </c>
      <c r="B32" s="4">
        <v>30</v>
      </c>
      <c r="C32" t="s">
        <v>6</v>
      </c>
      <c r="D32" t="s">
        <v>7</v>
      </c>
      <c r="E32" s="4">
        <v>200</v>
      </c>
      <c r="F32" s="6">
        <v>45322</v>
      </c>
      <c r="G32" t="str">
        <f t="shared" si="0"/>
        <v>25–34</v>
      </c>
      <c r="H32" t="str">
        <f t="shared" si="1"/>
        <v>Medium</v>
      </c>
    </row>
    <row r="33" spans="1:8" x14ac:dyDescent="0.35">
      <c r="A33" s="4">
        <v>32</v>
      </c>
      <c r="B33" s="4">
        <v>22</v>
      </c>
      <c r="C33" t="s">
        <v>6</v>
      </c>
      <c r="D33" t="s">
        <v>11</v>
      </c>
      <c r="E33" s="4">
        <v>300</v>
      </c>
      <c r="F33" s="6">
        <v>45323</v>
      </c>
      <c r="G33" t="str">
        <f t="shared" si="0"/>
        <v>18–24</v>
      </c>
      <c r="H33" t="str">
        <f t="shared" si="1"/>
        <v>High</v>
      </c>
    </row>
    <row r="34" spans="1:8" x14ac:dyDescent="0.35">
      <c r="A34" s="4">
        <v>33</v>
      </c>
      <c r="B34" s="4">
        <v>18</v>
      </c>
      <c r="C34" t="s">
        <v>6</v>
      </c>
      <c r="D34" t="s">
        <v>12</v>
      </c>
      <c r="E34" s="4">
        <v>150</v>
      </c>
      <c r="F34" s="6">
        <v>45324</v>
      </c>
      <c r="G34" t="str">
        <f t="shared" si="0"/>
        <v>18–24</v>
      </c>
      <c r="H34" t="str">
        <f t="shared" si="1"/>
        <v>Medium</v>
      </c>
    </row>
    <row r="35" spans="1:8" x14ac:dyDescent="0.35">
      <c r="A35" s="4">
        <v>34</v>
      </c>
      <c r="B35" s="4">
        <v>45</v>
      </c>
      <c r="C35" t="s">
        <v>6</v>
      </c>
      <c r="D35" t="s">
        <v>7</v>
      </c>
      <c r="E35" s="4">
        <v>150</v>
      </c>
      <c r="F35" s="6">
        <v>45325</v>
      </c>
      <c r="G35" t="str">
        <f t="shared" si="0"/>
        <v>45+</v>
      </c>
      <c r="H35" t="str">
        <f t="shared" si="1"/>
        <v>Medium</v>
      </c>
    </row>
    <row r="36" spans="1:8" x14ac:dyDescent="0.35">
      <c r="A36" s="4">
        <v>35</v>
      </c>
      <c r="B36" s="4">
        <v>28</v>
      </c>
      <c r="C36" t="s">
        <v>8</v>
      </c>
      <c r="D36" t="s">
        <v>7</v>
      </c>
      <c r="E36" s="4">
        <v>50</v>
      </c>
      <c r="F36" s="6">
        <v>45326</v>
      </c>
      <c r="G36" t="str">
        <f t="shared" si="0"/>
        <v>25–34</v>
      </c>
      <c r="H36" t="str">
        <f t="shared" si="1"/>
        <v>Low</v>
      </c>
    </row>
    <row r="37" spans="1:8" x14ac:dyDescent="0.35">
      <c r="A37" s="4">
        <v>36</v>
      </c>
      <c r="B37" s="4">
        <v>40</v>
      </c>
      <c r="C37" t="s">
        <v>6</v>
      </c>
      <c r="D37" t="s">
        <v>12</v>
      </c>
      <c r="E37" s="4">
        <v>100</v>
      </c>
      <c r="F37" s="6">
        <v>45327</v>
      </c>
      <c r="G37" t="str">
        <f t="shared" si="0"/>
        <v>35–44</v>
      </c>
      <c r="H37" t="str">
        <f t="shared" si="1"/>
        <v>Medium</v>
      </c>
    </row>
    <row r="38" spans="1:8" x14ac:dyDescent="0.35">
      <c r="A38" s="4">
        <v>37</v>
      </c>
      <c r="B38" s="4">
        <v>25</v>
      </c>
      <c r="C38" t="s">
        <v>8</v>
      </c>
      <c r="D38" t="s">
        <v>7</v>
      </c>
      <c r="E38" s="4">
        <v>150</v>
      </c>
      <c r="F38" s="6">
        <v>45328</v>
      </c>
      <c r="G38" t="str">
        <f t="shared" si="0"/>
        <v>25–34</v>
      </c>
      <c r="H38" t="str">
        <f t="shared" si="1"/>
        <v>Medium</v>
      </c>
    </row>
    <row r="39" spans="1:8" x14ac:dyDescent="0.35">
      <c r="A39" s="4">
        <v>38</v>
      </c>
      <c r="B39" s="4">
        <v>22</v>
      </c>
      <c r="C39" t="s">
        <v>8</v>
      </c>
      <c r="D39" t="s">
        <v>11</v>
      </c>
      <c r="E39" s="4">
        <v>75</v>
      </c>
      <c r="F39" s="6">
        <v>45329</v>
      </c>
      <c r="G39" t="str">
        <f t="shared" si="0"/>
        <v>18–24</v>
      </c>
      <c r="H39" t="str">
        <f t="shared" si="1"/>
        <v>Low</v>
      </c>
    </row>
    <row r="40" spans="1:8" x14ac:dyDescent="0.35">
      <c r="A40" s="4">
        <v>39</v>
      </c>
      <c r="B40" s="4">
        <v>35</v>
      </c>
      <c r="C40" t="s">
        <v>6</v>
      </c>
      <c r="D40" t="s">
        <v>12</v>
      </c>
      <c r="E40" s="4">
        <v>75</v>
      </c>
      <c r="F40" s="6">
        <v>45330</v>
      </c>
      <c r="G40" t="str">
        <f t="shared" si="0"/>
        <v>35–44</v>
      </c>
      <c r="H40" t="str">
        <f t="shared" si="1"/>
        <v>Low</v>
      </c>
    </row>
    <row r="41" spans="1:8" x14ac:dyDescent="0.35">
      <c r="A41" s="4">
        <v>40</v>
      </c>
      <c r="B41" s="4">
        <v>28</v>
      </c>
      <c r="C41" t="s">
        <v>8</v>
      </c>
      <c r="D41" t="s">
        <v>7</v>
      </c>
      <c r="E41" s="4">
        <v>100</v>
      </c>
      <c r="F41" s="6">
        <v>45331</v>
      </c>
      <c r="G41" t="str">
        <f t="shared" si="0"/>
        <v>25–34</v>
      </c>
      <c r="H41" t="str">
        <f t="shared" si="1"/>
        <v>Medium</v>
      </c>
    </row>
    <row r="42" spans="1:8" x14ac:dyDescent="0.35">
      <c r="A42" s="4">
        <v>41</v>
      </c>
      <c r="B42" s="4">
        <v>22</v>
      </c>
      <c r="C42" t="s">
        <v>6</v>
      </c>
      <c r="D42" t="s">
        <v>7</v>
      </c>
      <c r="E42" s="4">
        <v>50</v>
      </c>
      <c r="F42" s="6">
        <v>45332</v>
      </c>
      <c r="G42" t="str">
        <f t="shared" si="0"/>
        <v>18–24</v>
      </c>
      <c r="H42" t="str">
        <f t="shared" si="1"/>
        <v>Low</v>
      </c>
    </row>
    <row r="43" spans="1:8" x14ac:dyDescent="0.35">
      <c r="A43" s="4">
        <v>42</v>
      </c>
      <c r="B43" s="4">
        <v>28</v>
      </c>
      <c r="C43" t="s">
        <v>13</v>
      </c>
      <c r="D43" t="s">
        <v>13</v>
      </c>
      <c r="E43" s="4">
        <v>100</v>
      </c>
      <c r="F43" s="6">
        <v>45333</v>
      </c>
      <c r="G43" t="str">
        <f t="shared" si="0"/>
        <v>25–34</v>
      </c>
      <c r="H43" t="str">
        <f t="shared" si="1"/>
        <v>Medium</v>
      </c>
    </row>
    <row r="44" spans="1:8" x14ac:dyDescent="0.35">
      <c r="A44" s="4">
        <v>43</v>
      </c>
      <c r="B44" s="4">
        <v>18</v>
      </c>
      <c r="C44" t="s">
        <v>6</v>
      </c>
      <c r="D44" t="s">
        <v>10</v>
      </c>
      <c r="E44" s="4">
        <v>75</v>
      </c>
      <c r="F44" s="6">
        <v>45334</v>
      </c>
      <c r="G44" t="str">
        <f t="shared" si="0"/>
        <v>18–24</v>
      </c>
      <c r="H44" t="str">
        <f t="shared" si="1"/>
        <v>Low</v>
      </c>
    </row>
    <row r="45" spans="1:8" x14ac:dyDescent="0.35">
      <c r="A45" s="4">
        <v>44</v>
      </c>
      <c r="B45" s="4">
        <v>45</v>
      </c>
      <c r="C45" t="s">
        <v>8</v>
      </c>
      <c r="D45" t="s">
        <v>10</v>
      </c>
      <c r="E45" s="4">
        <v>100</v>
      </c>
      <c r="F45" s="6">
        <v>45335</v>
      </c>
      <c r="G45" t="str">
        <f t="shared" si="0"/>
        <v>45+</v>
      </c>
      <c r="H45" t="str">
        <f t="shared" si="1"/>
        <v>Medium</v>
      </c>
    </row>
    <row r="46" spans="1:8" x14ac:dyDescent="0.35">
      <c r="A46" s="4">
        <v>45</v>
      </c>
      <c r="B46" s="4">
        <v>25</v>
      </c>
      <c r="C46" t="s">
        <v>8</v>
      </c>
      <c r="D46" t="s">
        <v>11</v>
      </c>
      <c r="E46" s="4">
        <v>50</v>
      </c>
      <c r="F46" s="6">
        <v>45336</v>
      </c>
      <c r="G46" t="str">
        <f t="shared" si="0"/>
        <v>25–34</v>
      </c>
      <c r="H46" t="str">
        <f t="shared" si="1"/>
        <v>Low</v>
      </c>
    </row>
    <row r="47" spans="1:8" x14ac:dyDescent="0.35">
      <c r="A47" s="4">
        <v>46</v>
      </c>
      <c r="B47" s="4">
        <v>35</v>
      </c>
      <c r="C47" t="s">
        <v>6</v>
      </c>
      <c r="D47" t="s">
        <v>9</v>
      </c>
      <c r="E47" s="4">
        <v>300</v>
      </c>
      <c r="F47" s="6">
        <v>45337</v>
      </c>
      <c r="G47" t="str">
        <f t="shared" si="0"/>
        <v>35–44</v>
      </c>
      <c r="H47" t="str">
        <f t="shared" si="1"/>
        <v>High</v>
      </c>
    </row>
    <row r="48" spans="1:8" x14ac:dyDescent="0.35">
      <c r="A48" s="4">
        <v>47</v>
      </c>
      <c r="B48" s="4">
        <v>25</v>
      </c>
      <c r="C48" t="s">
        <v>8</v>
      </c>
      <c r="D48" t="s">
        <v>13</v>
      </c>
      <c r="E48" s="4">
        <v>150</v>
      </c>
      <c r="F48" s="6">
        <v>45338</v>
      </c>
      <c r="G48" t="str">
        <f t="shared" si="0"/>
        <v>25–34</v>
      </c>
      <c r="H48" t="str">
        <f t="shared" si="1"/>
        <v>Medium</v>
      </c>
    </row>
    <row r="49" spans="1:8" x14ac:dyDescent="0.35">
      <c r="A49" s="4">
        <v>48</v>
      </c>
      <c r="B49" s="4">
        <v>30</v>
      </c>
      <c r="C49" t="s">
        <v>13</v>
      </c>
      <c r="D49" t="s">
        <v>11</v>
      </c>
      <c r="E49" s="4">
        <v>150</v>
      </c>
      <c r="F49" s="6">
        <v>45339</v>
      </c>
      <c r="G49" t="str">
        <f t="shared" si="0"/>
        <v>25–34</v>
      </c>
      <c r="H49" t="str">
        <f t="shared" si="1"/>
        <v>Medium</v>
      </c>
    </row>
    <row r="50" spans="1:8" x14ac:dyDescent="0.35">
      <c r="A50" s="4">
        <v>49</v>
      </c>
      <c r="B50" s="4">
        <v>30</v>
      </c>
      <c r="C50" t="s">
        <v>13</v>
      </c>
      <c r="D50" t="s">
        <v>10</v>
      </c>
      <c r="E50" s="4">
        <v>200</v>
      </c>
      <c r="F50" s="6">
        <v>45340</v>
      </c>
      <c r="G50" t="str">
        <f t="shared" si="0"/>
        <v>25–34</v>
      </c>
      <c r="H50" t="str">
        <f t="shared" si="1"/>
        <v>Medium</v>
      </c>
    </row>
    <row r="51" spans="1:8" x14ac:dyDescent="0.35">
      <c r="A51" s="4">
        <v>50</v>
      </c>
      <c r="B51" s="4">
        <v>22</v>
      </c>
      <c r="C51" t="s">
        <v>6</v>
      </c>
      <c r="D51" t="s">
        <v>7</v>
      </c>
      <c r="E51" s="4">
        <v>100</v>
      </c>
      <c r="F51" s="6">
        <v>45341</v>
      </c>
      <c r="G51" t="str">
        <f t="shared" si="0"/>
        <v>18–24</v>
      </c>
      <c r="H51" t="str">
        <f t="shared" si="1"/>
        <v>Medium</v>
      </c>
    </row>
    <row r="52" spans="1:8" x14ac:dyDescent="0.35">
      <c r="A52" s="4">
        <v>51</v>
      </c>
      <c r="B52" s="4">
        <v>28</v>
      </c>
      <c r="C52" t="s">
        <v>8</v>
      </c>
      <c r="D52" t="s">
        <v>11</v>
      </c>
      <c r="E52" s="4">
        <v>50</v>
      </c>
      <c r="F52" s="6">
        <v>45342</v>
      </c>
      <c r="G52" t="str">
        <f t="shared" si="0"/>
        <v>25–34</v>
      </c>
      <c r="H52" t="str">
        <f t="shared" si="1"/>
        <v>Low</v>
      </c>
    </row>
    <row r="53" spans="1:8" x14ac:dyDescent="0.35">
      <c r="A53" s="4">
        <v>52</v>
      </c>
      <c r="B53" s="4">
        <v>35</v>
      </c>
      <c r="C53" t="s">
        <v>8</v>
      </c>
      <c r="D53" t="s">
        <v>12</v>
      </c>
      <c r="E53" s="4">
        <v>150</v>
      </c>
      <c r="F53" s="6">
        <v>45343</v>
      </c>
      <c r="G53" t="str">
        <f t="shared" si="0"/>
        <v>35–44</v>
      </c>
      <c r="H53" t="str">
        <f t="shared" si="1"/>
        <v>Medium</v>
      </c>
    </row>
    <row r="54" spans="1:8" x14ac:dyDescent="0.35">
      <c r="A54" s="4">
        <v>53</v>
      </c>
      <c r="B54" s="4">
        <v>45</v>
      </c>
      <c r="C54" t="s">
        <v>6</v>
      </c>
      <c r="D54" t="s">
        <v>10</v>
      </c>
      <c r="E54" s="4">
        <v>150</v>
      </c>
      <c r="F54" s="6">
        <v>45344</v>
      </c>
      <c r="G54" t="str">
        <f t="shared" si="0"/>
        <v>45+</v>
      </c>
      <c r="H54" t="str">
        <f t="shared" si="1"/>
        <v>Medium</v>
      </c>
    </row>
    <row r="55" spans="1:8" x14ac:dyDescent="0.35">
      <c r="A55" s="4">
        <v>54</v>
      </c>
      <c r="B55" s="4">
        <v>40</v>
      </c>
      <c r="C55" t="s">
        <v>8</v>
      </c>
      <c r="D55" t="s">
        <v>9</v>
      </c>
      <c r="E55" s="4">
        <v>200</v>
      </c>
      <c r="F55" s="6">
        <v>45345</v>
      </c>
      <c r="G55" t="str">
        <f t="shared" si="0"/>
        <v>35–44</v>
      </c>
      <c r="H55" t="str">
        <f t="shared" si="1"/>
        <v>Medium</v>
      </c>
    </row>
    <row r="56" spans="1:8" x14ac:dyDescent="0.35">
      <c r="A56" s="4">
        <v>55</v>
      </c>
      <c r="B56" s="4">
        <v>30</v>
      </c>
      <c r="C56" t="s">
        <v>8</v>
      </c>
      <c r="D56" t="s">
        <v>7</v>
      </c>
      <c r="E56" s="4">
        <v>100</v>
      </c>
      <c r="F56" s="6">
        <v>45346</v>
      </c>
      <c r="G56" t="str">
        <f t="shared" si="0"/>
        <v>25–34</v>
      </c>
      <c r="H56" t="str">
        <f t="shared" si="1"/>
        <v>Medium</v>
      </c>
    </row>
    <row r="57" spans="1:8" x14ac:dyDescent="0.35">
      <c r="A57" s="4">
        <v>56</v>
      </c>
      <c r="B57" s="4">
        <v>45</v>
      </c>
      <c r="C57" t="s">
        <v>6</v>
      </c>
      <c r="D57" t="s">
        <v>10</v>
      </c>
      <c r="E57" s="4">
        <v>50</v>
      </c>
      <c r="F57" s="6">
        <v>45347</v>
      </c>
      <c r="G57" t="str">
        <f t="shared" si="0"/>
        <v>45+</v>
      </c>
      <c r="H57" t="str">
        <f t="shared" si="1"/>
        <v>Low</v>
      </c>
    </row>
    <row r="58" spans="1:8" x14ac:dyDescent="0.35">
      <c r="A58" s="4">
        <v>57</v>
      </c>
      <c r="B58" s="4">
        <v>22</v>
      </c>
      <c r="C58" t="s">
        <v>6</v>
      </c>
      <c r="D58" t="s">
        <v>7</v>
      </c>
      <c r="E58" s="4">
        <v>75</v>
      </c>
      <c r="F58" s="6">
        <v>45348</v>
      </c>
      <c r="G58" t="str">
        <f t="shared" si="0"/>
        <v>18–24</v>
      </c>
      <c r="H58" t="str">
        <f t="shared" si="1"/>
        <v>Low</v>
      </c>
    </row>
    <row r="59" spans="1:8" x14ac:dyDescent="0.35">
      <c r="A59" s="4">
        <v>58</v>
      </c>
      <c r="B59" s="4">
        <v>22</v>
      </c>
      <c r="C59" t="s">
        <v>6</v>
      </c>
      <c r="D59" t="s">
        <v>10</v>
      </c>
      <c r="E59" s="4">
        <v>100</v>
      </c>
      <c r="F59" s="6">
        <v>45349</v>
      </c>
      <c r="G59" t="str">
        <f t="shared" si="0"/>
        <v>18–24</v>
      </c>
      <c r="H59" t="str">
        <f t="shared" si="1"/>
        <v>Medium</v>
      </c>
    </row>
    <row r="60" spans="1:8" x14ac:dyDescent="0.35">
      <c r="A60" s="4">
        <v>59</v>
      </c>
      <c r="B60" s="4">
        <v>18</v>
      </c>
      <c r="C60" t="s">
        <v>6</v>
      </c>
      <c r="D60" t="s">
        <v>7</v>
      </c>
      <c r="E60" s="4">
        <v>150</v>
      </c>
      <c r="F60" s="6">
        <v>45350</v>
      </c>
      <c r="G60" t="str">
        <f t="shared" si="0"/>
        <v>18–24</v>
      </c>
      <c r="H60" t="str">
        <f t="shared" si="1"/>
        <v>Medium</v>
      </c>
    </row>
    <row r="61" spans="1:8" x14ac:dyDescent="0.35">
      <c r="A61" s="4">
        <v>60</v>
      </c>
      <c r="B61" s="4">
        <v>25</v>
      </c>
      <c r="C61" t="s">
        <v>8</v>
      </c>
      <c r="D61" t="s">
        <v>7</v>
      </c>
      <c r="E61" s="4">
        <v>150</v>
      </c>
      <c r="F61" s="6">
        <v>45351</v>
      </c>
      <c r="G61" t="str">
        <f t="shared" si="0"/>
        <v>25–34</v>
      </c>
      <c r="H61" t="str">
        <f t="shared" si="1"/>
        <v>Medium</v>
      </c>
    </row>
    <row r="62" spans="1:8" x14ac:dyDescent="0.35">
      <c r="A62" s="4">
        <v>61</v>
      </c>
      <c r="B62" s="4">
        <v>28</v>
      </c>
      <c r="C62" t="s">
        <v>6</v>
      </c>
      <c r="D62" t="s">
        <v>7</v>
      </c>
      <c r="E62" s="4">
        <v>100</v>
      </c>
      <c r="F62" s="6">
        <v>45352</v>
      </c>
      <c r="G62" t="str">
        <f t="shared" si="0"/>
        <v>25–34</v>
      </c>
      <c r="H62" t="str">
        <f t="shared" si="1"/>
        <v>Medium</v>
      </c>
    </row>
    <row r="63" spans="1:8" x14ac:dyDescent="0.35">
      <c r="A63" s="4">
        <v>62</v>
      </c>
      <c r="B63" s="4">
        <v>25</v>
      </c>
      <c r="C63" t="s">
        <v>13</v>
      </c>
      <c r="D63" t="s">
        <v>12</v>
      </c>
      <c r="E63" s="4">
        <v>100</v>
      </c>
      <c r="F63" s="6">
        <v>45353</v>
      </c>
      <c r="G63" t="str">
        <f t="shared" si="0"/>
        <v>25–34</v>
      </c>
      <c r="H63" t="str">
        <f t="shared" si="1"/>
        <v>Medium</v>
      </c>
    </row>
    <row r="64" spans="1:8" x14ac:dyDescent="0.35">
      <c r="A64" s="4">
        <v>63</v>
      </c>
      <c r="B64" s="4">
        <v>40</v>
      </c>
      <c r="C64" t="s">
        <v>8</v>
      </c>
      <c r="D64" t="s">
        <v>12</v>
      </c>
      <c r="E64" s="4">
        <v>150</v>
      </c>
      <c r="F64" s="6">
        <v>45354</v>
      </c>
      <c r="G64" t="str">
        <f t="shared" si="0"/>
        <v>35–44</v>
      </c>
      <c r="H64" t="str">
        <f t="shared" si="1"/>
        <v>Medium</v>
      </c>
    </row>
    <row r="65" spans="1:8" x14ac:dyDescent="0.35">
      <c r="A65" s="4">
        <v>64</v>
      </c>
      <c r="B65" s="4">
        <v>28</v>
      </c>
      <c r="C65" t="s">
        <v>6</v>
      </c>
      <c r="D65" t="s">
        <v>12</v>
      </c>
      <c r="E65" s="4">
        <v>75</v>
      </c>
      <c r="F65" s="6">
        <v>45355</v>
      </c>
      <c r="G65" t="str">
        <f t="shared" si="0"/>
        <v>25–34</v>
      </c>
      <c r="H65" t="str">
        <f t="shared" si="1"/>
        <v>Low</v>
      </c>
    </row>
    <row r="66" spans="1:8" x14ac:dyDescent="0.35">
      <c r="A66" s="4">
        <v>65</v>
      </c>
      <c r="B66" s="4">
        <v>25</v>
      </c>
      <c r="C66" t="s">
        <v>6</v>
      </c>
      <c r="D66" t="s">
        <v>13</v>
      </c>
      <c r="E66" s="4">
        <v>50</v>
      </c>
      <c r="F66" s="6">
        <v>45356</v>
      </c>
      <c r="G66" t="str">
        <f t="shared" si="0"/>
        <v>25–34</v>
      </c>
      <c r="H66" t="str">
        <f t="shared" si="1"/>
        <v>Low</v>
      </c>
    </row>
    <row r="67" spans="1:8" x14ac:dyDescent="0.35">
      <c r="A67" s="4">
        <v>66</v>
      </c>
      <c r="B67" s="4">
        <v>30</v>
      </c>
      <c r="C67" t="s">
        <v>6</v>
      </c>
      <c r="D67" t="s">
        <v>10</v>
      </c>
      <c r="E67" s="4">
        <v>75</v>
      </c>
      <c r="F67" s="6">
        <v>45357</v>
      </c>
      <c r="G67" t="str">
        <f t="shared" ref="G67:G130" si="2">IF(B67&lt;25,"18–24",IF(B67&lt;35,"25–34",IF(B67&lt;45,"35–44","45+")))</f>
        <v>25–34</v>
      </c>
      <c r="H67" t="str">
        <f t="shared" ref="H67:H130" si="3">IF(E67&lt;100,"Low",IF(E67&lt;=250,"Medium","High"))</f>
        <v>Low</v>
      </c>
    </row>
    <row r="68" spans="1:8" x14ac:dyDescent="0.35">
      <c r="A68" s="4">
        <v>67</v>
      </c>
      <c r="B68" s="4">
        <v>22</v>
      </c>
      <c r="C68" t="s">
        <v>6</v>
      </c>
      <c r="D68" t="s">
        <v>7</v>
      </c>
      <c r="E68" s="4">
        <v>75</v>
      </c>
      <c r="F68" s="6">
        <v>45358</v>
      </c>
      <c r="G68" t="str">
        <f t="shared" si="2"/>
        <v>18–24</v>
      </c>
      <c r="H68" t="str">
        <f t="shared" si="3"/>
        <v>Low</v>
      </c>
    </row>
    <row r="69" spans="1:8" x14ac:dyDescent="0.35">
      <c r="A69" s="4">
        <v>68</v>
      </c>
      <c r="B69" s="4">
        <v>40</v>
      </c>
      <c r="C69" t="s">
        <v>6</v>
      </c>
      <c r="D69" t="s">
        <v>11</v>
      </c>
      <c r="E69" s="4">
        <v>75</v>
      </c>
      <c r="F69" s="6">
        <v>45359</v>
      </c>
      <c r="G69" t="str">
        <f t="shared" si="2"/>
        <v>35–44</v>
      </c>
      <c r="H69" t="str">
        <f t="shared" si="3"/>
        <v>Low</v>
      </c>
    </row>
    <row r="70" spans="1:8" x14ac:dyDescent="0.35">
      <c r="A70" s="4">
        <v>69</v>
      </c>
      <c r="B70" s="4">
        <v>18</v>
      </c>
      <c r="C70" t="s">
        <v>8</v>
      </c>
      <c r="D70" t="s">
        <v>7</v>
      </c>
      <c r="E70" s="4">
        <v>75</v>
      </c>
      <c r="F70" s="6">
        <v>45360</v>
      </c>
      <c r="G70" t="str">
        <f t="shared" si="2"/>
        <v>18–24</v>
      </c>
      <c r="H70" t="str">
        <f t="shared" si="3"/>
        <v>Low</v>
      </c>
    </row>
    <row r="71" spans="1:8" x14ac:dyDescent="0.35">
      <c r="A71" s="4">
        <v>70</v>
      </c>
      <c r="B71" s="4">
        <v>28</v>
      </c>
      <c r="C71" t="s">
        <v>8</v>
      </c>
      <c r="D71" t="s">
        <v>13</v>
      </c>
      <c r="E71" s="4">
        <v>75</v>
      </c>
      <c r="F71" s="6">
        <v>45361</v>
      </c>
      <c r="G71" t="str">
        <f t="shared" si="2"/>
        <v>25–34</v>
      </c>
      <c r="H71" t="str">
        <f t="shared" si="3"/>
        <v>Low</v>
      </c>
    </row>
    <row r="72" spans="1:8" x14ac:dyDescent="0.35">
      <c r="A72" s="4">
        <v>71</v>
      </c>
      <c r="B72" s="4">
        <v>35</v>
      </c>
      <c r="C72" t="s">
        <v>6</v>
      </c>
      <c r="D72" t="s">
        <v>7</v>
      </c>
      <c r="E72" s="4">
        <v>75</v>
      </c>
      <c r="F72" s="6">
        <v>45362</v>
      </c>
      <c r="G72" t="str">
        <f t="shared" si="2"/>
        <v>35–44</v>
      </c>
      <c r="H72" t="str">
        <f t="shared" si="3"/>
        <v>Low</v>
      </c>
    </row>
    <row r="73" spans="1:8" x14ac:dyDescent="0.35">
      <c r="A73" s="4">
        <v>72</v>
      </c>
      <c r="B73" s="4">
        <v>22</v>
      </c>
      <c r="C73" t="s">
        <v>6</v>
      </c>
      <c r="D73" t="s">
        <v>13</v>
      </c>
      <c r="E73" s="4">
        <v>300</v>
      </c>
      <c r="F73" s="6">
        <v>45363</v>
      </c>
      <c r="G73" t="str">
        <f t="shared" si="2"/>
        <v>18–24</v>
      </c>
      <c r="H73" t="str">
        <f t="shared" si="3"/>
        <v>High</v>
      </c>
    </row>
    <row r="74" spans="1:8" x14ac:dyDescent="0.35">
      <c r="A74" s="4">
        <v>73</v>
      </c>
      <c r="B74" s="4">
        <v>18</v>
      </c>
      <c r="C74" t="s">
        <v>6</v>
      </c>
      <c r="D74" t="s">
        <v>7</v>
      </c>
      <c r="E74" s="4">
        <v>50</v>
      </c>
      <c r="F74" s="6">
        <v>45364</v>
      </c>
      <c r="G74" t="str">
        <f t="shared" si="2"/>
        <v>18–24</v>
      </c>
      <c r="H74" t="str">
        <f t="shared" si="3"/>
        <v>Low</v>
      </c>
    </row>
    <row r="75" spans="1:8" x14ac:dyDescent="0.35">
      <c r="A75" s="4">
        <v>74</v>
      </c>
      <c r="B75" s="4">
        <v>40</v>
      </c>
      <c r="C75" t="s">
        <v>6</v>
      </c>
      <c r="D75" t="s">
        <v>11</v>
      </c>
      <c r="E75" s="4">
        <v>150</v>
      </c>
      <c r="F75" s="6">
        <v>45365</v>
      </c>
      <c r="G75" t="str">
        <f t="shared" si="2"/>
        <v>35–44</v>
      </c>
      <c r="H75" t="str">
        <f t="shared" si="3"/>
        <v>Medium</v>
      </c>
    </row>
    <row r="76" spans="1:8" x14ac:dyDescent="0.35">
      <c r="A76" s="4">
        <v>75</v>
      </c>
      <c r="B76" s="4">
        <v>35</v>
      </c>
      <c r="C76" t="s">
        <v>6</v>
      </c>
      <c r="D76" t="s">
        <v>10</v>
      </c>
      <c r="E76" s="4">
        <v>100</v>
      </c>
      <c r="F76" s="6">
        <v>45366</v>
      </c>
      <c r="G76" t="str">
        <f t="shared" si="2"/>
        <v>35–44</v>
      </c>
      <c r="H76" t="str">
        <f t="shared" si="3"/>
        <v>Medium</v>
      </c>
    </row>
    <row r="77" spans="1:8" x14ac:dyDescent="0.35">
      <c r="A77" s="4">
        <v>76</v>
      </c>
      <c r="B77" s="4">
        <v>35</v>
      </c>
      <c r="C77" t="s">
        <v>6</v>
      </c>
      <c r="D77" t="s">
        <v>13</v>
      </c>
      <c r="E77" s="4">
        <v>100</v>
      </c>
      <c r="F77" s="6">
        <v>45367</v>
      </c>
      <c r="G77" t="str">
        <f t="shared" si="2"/>
        <v>35–44</v>
      </c>
      <c r="H77" t="str">
        <f t="shared" si="3"/>
        <v>Medium</v>
      </c>
    </row>
    <row r="78" spans="1:8" x14ac:dyDescent="0.35">
      <c r="A78" s="4">
        <v>77</v>
      </c>
      <c r="B78" s="4">
        <v>35</v>
      </c>
      <c r="C78" t="s">
        <v>6</v>
      </c>
      <c r="D78" t="s">
        <v>7</v>
      </c>
      <c r="E78" s="4">
        <v>50</v>
      </c>
      <c r="F78" s="6">
        <v>45368</v>
      </c>
      <c r="G78" t="str">
        <f t="shared" si="2"/>
        <v>35–44</v>
      </c>
      <c r="H78" t="str">
        <f t="shared" si="3"/>
        <v>Low</v>
      </c>
    </row>
    <row r="79" spans="1:8" x14ac:dyDescent="0.35">
      <c r="A79" s="4">
        <v>78</v>
      </c>
      <c r="B79" s="4">
        <v>18</v>
      </c>
      <c r="C79" t="s">
        <v>6</v>
      </c>
      <c r="D79" t="s">
        <v>12</v>
      </c>
      <c r="E79" s="4">
        <v>100</v>
      </c>
      <c r="F79" s="6">
        <v>45369</v>
      </c>
      <c r="G79" t="str">
        <f t="shared" si="2"/>
        <v>18–24</v>
      </c>
      <c r="H79" t="str">
        <f t="shared" si="3"/>
        <v>Medium</v>
      </c>
    </row>
    <row r="80" spans="1:8" x14ac:dyDescent="0.35">
      <c r="A80" s="4">
        <v>79</v>
      </c>
      <c r="B80" s="4">
        <v>28</v>
      </c>
      <c r="C80" t="s">
        <v>6</v>
      </c>
      <c r="D80" t="s">
        <v>13</v>
      </c>
      <c r="E80" s="4">
        <v>500</v>
      </c>
      <c r="F80" s="6">
        <v>45370</v>
      </c>
      <c r="G80" t="str">
        <f t="shared" si="2"/>
        <v>25–34</v>
      </c>
      <c r="H80" t="str">
        <f t="shared" si="3"/>
        <v>High</v>
      </c>
    </row>
    <row r="81" spans="1:8" x14ac:dyDescent="0.35">
      <c r="A81" s="4">
        <v>80</v>
      </c>
      <c r="B81" s="4">
        <v>22</v>
      </c>
      <c r="C81" t="s">
        <v>6</v>
      </c>
      <c r="D81" t="s">
        <v>10</v>
      </c>
      <c r="E81" s="4">
        <v>300</v>
      </c>
      <c r="F81" s="6">
        <v>45371</v>
      </c>
      <c r="G81" t="str">
        <f t="shared" si="2"/>
        <v>18–24</v>
      </c>
      <c r="H81" t="str">
        <f t="shared" si="3"/>
        <v>High</v>
      </c>
    </row>
    <row r="82" spans="1:8" x14ac:dyDescent="0.35">
      <c r="A82" s="4">
        <v>81</v>
      </c>
      <c r="B82" s="4">
        <v>40</v>
      </c>
      <c r="C82" t="s">
        <v>6</v>
      </c>
      <c r="D82" t="s">
        <v>12</v>
      </c>
      <c r="E82" s="4">
        <v>200</v>
      </c>
      <c r="F82" s="6">
        <v>45372</v>
      </c>
      <c r="G82" t="str">
        <f t="shared" si="2"/>
        <v>35–44</v>
      </c>
      <c r="H82" t="str">
        <f t="shared" si="3"/>
        <v>Medium</v>
      </c>
    </row>
    <row r="83" spans="1:8" x14ac:dyDescent="0.35">
      <c r="A83" s="4">
        <v>82</v>
      </c>
      <c r="B83" s="4">
        <v>30</v>
      </c>
      <c r="C83" t="s">
        <v>8</v>
      </c>
      <c r="D83" t="s">
        <v>12</v>
      </c>
      <c r="E83" s="4">
        <v>75</v>
      </c>
      <c r="F83" s="6">
        <v>45373</v>
      </c>
      <c r="G83" t="str">
        <f t="shared" si="2"/>
        <v>25–34</v>
      </c>
      <c r="H83" t="str">
        <f t="shared" si="3"/>
        <v>Low</v>
      </c>
    </row>
    <row r="84" spans="1:8" x14ac:dyDescent="0.35">
      <c r="A84" s="4">
        <v>83</v>
      </c>
      <c r="B84" s="4">
        <v>25</v>
      </c>
      <c r="C84" t="s">
        <v>8</v>
      </c>
      <c r="D84" t="s">
        <v>10</v>
      </c>
      <c r="E84" s="4">
        <v>75</v>
      </c>
      <c r="F84" s="6">
        <v>45374</v>
      </c>
      <c r="G84" t="str">
        <f t="shared" si="2"/>
        <v>25–34</v>
      </c>
      <c r="H84" t="str">
        <f t="shared" si="3"/>
        <v>Low</v>
      </c>
    </row>
    <row r="85" spans="1:8" x14ac:dyDescent="0.35">
      <c r="A85" s="4">
        <v>84</v>
      </c>
      <c r="B85" s="4">
        <v>18</v>
      </c>
      <c r="C85" t="s">
        <v>8</v>
      </c>
      <c r="D85" t="s">
        <v>12</v>
      </c>
      <c r="E85" s="4">
        <v>150</v>
      </c>
      <c r="F85" s="6">
        <v>45375</v>
      </c>
      <c r="G85" t="str">
        <f t="shared" si="2"/>
        <v>18–24</v>
      </c>
      <c r="H85" t="str">
        <f t="shared" si="3"/>
        <v>Medium</v>
      </c>
    </row>
    <row r="86" spans="1:8" x14ac:dyDescent="0.35">
      <c r="A86" s="4">
        <v>85</v>
      </c>
      <c r="B86" s="4">
        <v>25</v>
      </c>
      <c r="C86" t="s">
        <v>6</v>
      </c>
      <c r="D86" t="s">
        <v>12</v>
      </c>
      <c r="E86" s="4">
        <v>300</v>
      </c>
      <c r="F86" s="6">
        <v>45376</v>
      </c>
      <c r="G86" t="str">
        <f t="shared" si="2"/>
        <v>25–34</v>
      </c>
      <c r="H86" t="str">
        <f t="shared" si="3"/>
        <v>High</v>
      </c>
    </row>
    <row r="87" spans="1:8" x14ac:dyDescent="0.35">
      <c r="A87" s="4">
        <v>86</v>
      </c>
      <c r="B87" s="4">
        <v>25</v>
      </c>
      <c r="C87" t="s">
        <v>8</v>
      </c>
      <c r="D87" t="s">
        <v>9</v>
      </c>
      <c r="E87" s="4">
        <v>150</v>
      </c>
      <c r="F87" s="6">
        <v>45377</v>
      </c>
      <c r="G87" t="str">
        <f t="shared" si="2"/>
        <v>25–34</v>
      </c>
      <c r="H87" t="str">
        <f t="shared" si="3"/>
        <v>Medium</v>
      </c>
    </row>
    <row r="88" spans="1:8" x14ac:dyDescent="0.35">
      <c r="A88" s="4">
        <v>87</v>
      </c>
      <c r="B88" s="4">
        <v>35</v>
      </c>
      <c r="C88" t="s">
        <v>8</v>
      </c>
      <c r="D88" t="s">
        <v>7</v>
      </c>
      <c r="E88" s="4">
        <v>150</v>
      </c>
      <c r="F88" s="6">
        <v>45378</v>
      </c>
      <c r="G88" t="str">
        <f t="shared" si="2"/>
        <v>35–44</v>
      </c>
      <c r="H88" t="str">
        <f t="shared" si="3"/>
        <v>Medium</v>
      </c>
    </row>
    <row r="89" spans="1:8" x14ac:dyDescent="0.35">
      <c r="A89" s="4">
        <v>88</v>
      </c>
      <c r="B89" s="4">
        <v>30</v>
      </c>
      <c r="C89" t="s">
        <v>6</v>
      </c>
      <c r="D89" t="s">
        <v>7</v>
      </c>
      <c r="E89" s="4">
        <v>75</v>
      </c>
      <c r="F89" s="6">
        <v>45379</v>
      </c>
      <c r="G89" t="str">
        <f t="shared" si="2"/>
        <v>25–34</v>
      </c>
      <c r="H89" t="str">
        <f t="shared" si="3"/>
        <v>Low</v>
      </c>
    </row>
    <row r="90" spans="1:8" x14ac:dyDescent="0.35">
      <c r="A90" s="4">
        <v>89</v>
      </c>
      <c r="B90" s="4">
        <v>40</v>
      </c>
      <c r="C90" t="s">
        <v>8</v>
      </c>
      <c r="D90" t="s">
        <v>13</v>
      </c>
      <c r="E90" s="4">
        <v>200</v>
      </c>
      <c r="F90" s="6">
        <v>45380</v>
      </c>
      <c r="G90" t="str">
        <f t="shared" si="2"/>
        <v>35–44</v>
      </c>
      <c r="H90" t="str">
        <f t="shared" si="3"/>
        <v>Medium</v>
      </c>
    </row>
    <row r="91" spans="1:8" x14ac:dyDescent="0.35">
      <c r="A91" s="4">
        <v>90</v>
      </c>
      <c r="B91" s="4">
        <v>28</v>
      </c>
      <c r="C91" t="s">
        <v>6</v>
      </c>
      <c r="D91" t="s">
        <v>11</v>
      </c>
      <c r="E91" s="4">
        <v>75</v>
      </c>
      <c r="F91" s="6">
        <v>45381</v>
      </c>
      <c r="G91" t="str">
        <f t="shared" si="2"/>
        <v>25–34</v>
      </c>
      <c r="H91" t="str">
        <f t="shared" si="3"/>
        <v>Low</v>
      </c>
    </row>
    <row r="92" spans="1:8" x14ac:dyDescent="0.35">
      <c r="A92" s="4">
        <v>91</v>
      </c>
      <c r="B92" s="4">
        <v>22</v>
      </c>
      <c r="C92" t="s">
        <v>8</v>
      </c>
      <c r="D92" t="s">
        <v>10</v>
      </c>
      <c r="E92" s="4">
        <v>100</v>
      </c>
      <c r="F92" s="6">
        <v>45382</v>
      </c>
      <c r="G92" t="str">
        <f t="shared" si="2"/>
        <v>18–24</v>
      </c>
      <c r="H92" t="str">
        <f t="shared" si="3"/>
        <v>Medium</v>
      </c>
    </row>
    <row r="93" spans="1:8" x14ac:dyDescent="0.35">
      <c r="A93" s="4">
        <v>92</v>
      </c>
      <c r="B93" s="4">
        <v>35</v>
      </c>
      <c r="C93" t="s">
        <v>8</v>
      </c>
      <c r="D93" t="s">
        <v>12</v>
      </c>
      <c r="E93" s="4">
        <v>100</v>
      </c>
      <c r="F93" s="6">
        <v>45383</v>
      </c>
      <c r="G93" t="str">
        <f t="shared" si="2"/>
        <v>35–44</v>
      </c>
      <c r="H93" t="str">
        <f t="shared" si="3"/>
        <v>Medium</v>
      </c>
    </row>
    <row r="94" spans="1:8" x14ac:dyDescent="0.35">
      <c r="A94" s="4">
        <v>93</v>
      </c>
      <c r="B94" s="4">
        <v>35</v>
      </c>
      <c r="C94" t="s">
        <v>6</v>
      </c>
      <c r="D94" t="s">
        <v>7</v>
      </c>
      <c r="E94" s="4">
        <v>150</v>
      </c>
      <c r="F94" s="6">
        <v>45384</v>
      </c>
      <c r="G94" t="str">
        <f t="shared" si="2"/>
        <v>35–44</v>
      </c>
      <c r="H94" t="str">
        <f t="shared" si="3"/>
        <v>Medium</v>
      </c>
    </row>
    <row r="95" spans="1:8" x14ac:dyDescent="0.35">
      <c r="A95" s="4">
        <v>94</v>
      </c>
      <c r="B95" s="4">
        <v>30</v>
      </c>
      <c r="C95" t="s">
        <v>8</v>
      </c>
      <c r="D95" t="s">
        <v>7</v>
      </c>
      <c r="E95" s="4">
        <v>75</v>
      </c>
      <c r="F95" s="6">
        <v>45385</v>
      </c>
      <c r="G95" t="str">
        <f t="shared" si="2"/>
        <v>25–34</v>
      </c>
      <c r="H95" t="str">
        <f t="shared" si="3"/>
        <v>Low</v>
      </c>
    </row>
    <row r="96" spans="1:8" x14ac:dyDescent="0.35">
      <c r="A96" s="4">
        <v>95</v>
      </c>
      <c r="B96" s="4">
        <v>35</v>
      </c>
      <c r="C96" t="s">
        <v>8</v>
      </c>
      <c r="D96" t="s">
        <v>10</v>
      </c>
      <c r="E96" s="4">
        <v>50</v>
      </c>
      <c r="F96" s="6">
        <v>45386</v>
      </c>
      <c r="G96" t="str">
        <f t="shared" si="2"/>
        <v>35–44</v>
      </c>
      <c r="H96" t="str">
        <f t="shared" si="3"/>
        <v>Low</v>
      </c>
    </row>
    <row r="97" spans="1:8" x14ac:dyDescent="0.35">
      <c r="A97" s="4">
        <v>96</v>
      </c>
      <c r="B97" s="4">
        <v>28</v>
      </c>
      <c r="C97" t="s">
        <v>6</v>
      </c>
      <c r="D97" t="s">
        <v>10</v>
      </c>
      <c r="E97" s="4">
        <v>150</v>
      </c>
      <c r="F97" s="6">
        <v>45387</v>
      </c>
      <c r="G97" t="str">
        <f t="shared" si="2"/>
        <v>25–34</v>
      </c>
      <c r="H97" t="str">
        <f t="shared" si="3"/>
        <v>Medium</v>
      </c>
    </row>
    <row r="98" spans="1:8" x14ac:dyDescent="0.35">
      <c r="A98" s="4">
        <v>97</v>
      </c>
      <c r="B98" s="4">
        <v>30</v>
      </c>
      <c r="C98" t="s">
        <v>6</v>
      </c>
      <c r="D98" t="s">
        <v>12</v>
      </c>
      <c r="E98" s="4">
        <v>75</v>
      </c>
      <c r="F98" s="6">
        <v>45388</v>
      </c>
      <c r="G98" t="str">
        <f t="shared" si="2"/>
        <v>25–34</v>
      </c>
      <c r="H98" t="str">
        <f t="shared" si="3"/>
        <v>Low</v>
      </c>
    </row>
    <row r="99" spans="1:8" x14ac:dyDescent="0.35">
      <c r="A99" s="4">
        <v>98</v>
      </c>
      <c r="B99" s="4">
        <v>28</v>
      </c>
      <c r="C99" t="s">
        <v>8</v>
      </c>
      <c r="D99" t="s">
        <v>7</v>
      </c>
      <c r="E99" s="4">
        <v>150</v>
      </c>
      <c r="F99" s="6">
        <v>45389</v>
      </c>
      <c r="G99" t="str">
        <f t="shared" si="2"/>
        <v>25–34</v>
      </c>
      <c r="H99" t="str">
        <f t="shared" si="3"/>
        <v>Medium</v>
      </c>
    </row>
    <row r="100" spans="1:8" x14ac:dyDescent="0.35">
      <c r="A100" s="4">
        <v>99</v>
      </c>
      <c r="B100" s="4">
        <v>18</v>
      </c>
      <c r="C100" t="s">
        <v>6</v>
      </c>
      <c r="D100" t="s">
        <v>13</v>
      </c>
      <c r="E100" s="4">
        <v>75</v>
      </c>
      <c r="F100" s="6">
        <v>45390</v>
      </c>
      <c r="G100" t="str">
        <f t="shared" si="2"/>
        <v>18–24</v>
      </c>
      <c r="H100" t="str">
        <f t="shared" si="3"/>
        <v>Low</v>
      </c>
    </row>
    <row r="101" spans="1:8" x14ac:dyDescent="0.35">
      <c r="A101" s="4">
        <v>100</v>
      </c>
      <c r="B101" s="4">
        <v>22</v>
      </c>
      <c r="C101" t="s">
        <v>8</v>
      </c>
      <c r="D101" t="s">
        <v>13</v>
      </c>
      <c r="E101" s="4">
        <v>100</v>
      </c>
      <c r="F101" s="6">
        <v>45391</v>
      </c>
      <c r="G101" t="str">
        <f t="shared" si="2"/>
        <v>18–24</v>
      </c>
      <c r="H101" t="str">
        <f t="shared" si="3"/>
        <v>Medium</v>
      </c>
    </row>
    <row r="102" spans="1:8" x14ac:dyDescent="0.35">
      <c r="A102" s="4">
        <v>101</v>
      </c>
      <c r="B102" s="4">
        <v>18</v>
      </c>
      <c r="C102" t="s">
        <v>8</v>
      </c>
      <c r="D102" t="s">
        <v>12</v>
      </c>
      <c r="E102" s="4">
        <v>150</v>
      </c>
      <c r="F102" s="6">
        <v>45392</v>
      </c>
      <c r="G102" t="str">
        <f t="shared" si="2"/>
        <v>18–24</v>
      </c>
      <c r="H102" t="str">
        <f t="shared" si="3"/>
        <v>Medium</v>
      </c>
    </row>
    <row r="103" spans="1:8" x14ac:dyDescent="0.35">
      <c r="A103" s="4">
        <v>102</v>
      </c>
      <c r="B103" s="4">
        <v>30</v>
      </c>
      <c r="C103" t="s">
        <v>6</v>
      </c>
      <c r="D103" t="s">
        <v>10</v>
      </c>
      <c r="E103" s="4">
        <v>50</v>
      </c>
      <c r="F103" s="6">
        <v>45393</v>
      </c>
      <c r="G103" t="str">
        <f t="shared" si="2"/>
        <v>25–34</v>
      </c>
      <c r="H103" t="str">
        <f t="shared" si="3"/>
        <v>Low</v>
      </c>
    </row>
    <row r="104" spans="1:8" x14ac:dyDescent="0.35">
      <c r="A104" s="4">
        <v>103</v>
      </c>
      <c r="B104" s="4">
        <v>25</v>
      </c>
      <c r="C104" t="s">
        <v>6</v>
      </c>
      <c r="D104" t="s">
        <v>10</v>
      </c>
      <c r="E104" s="4">
        <v>100</v>
      </c>
      <c r="F104" s="6">
        <v>45394</v>
      </c>
      <c r="G104" t="str">
        <f t="shared" si="2"/>
        <v>25–34</v>
      </c>
      <c r="H104" t="str">
        <f t="shared" si="3"/>
        <v>Medium</v>
      </c>
    </row>
    <row r="105" spans="1:8" x14ac:dyDescent="0.35">
      <c r="A105" s="4">
        <v>104</v>
      </c>
      <c r="B105" s="4">
        <v>30</v>
      </c>
      <c r="C105" t="s">
        <v>6</v>
      </c>
      <c r="D105" t="s">
        <v>11</v>
      </c>
      <c r="E105" s="4">
        <v>50</v>
      </c>
      <c r="F105" s="6">
        <v>45395</v>
      </c>
      <c r="G105" t="str">
        <f t="shared" si="2"/>
        <v>25–34</v>
      </c>
      <c r="H105" t="str">
        <f t="shared" si="3"/>
        <v>Low</v>
      </c>
    </row>
    <row r="106" spans="1:8" x14ac:dyDescent="0.35">
      <c r="A106" s="4">
        <v>105</v>
      </c>
      <c r="B106" s="4">
        <v>45</v>
      </c>
      <c r="C106" t="s">
        <v>6</v>
      </c>
      <c r="D106" t="s">
        <v>12</v>
      </c>
      <c r="E106" s="4">
        <v>50</v>
      </c>
      <c r="F106" s="6">
        <v>45396</v>
      </c>
      <c r="G106" t="str">
        <f t="shared" si="2"/>
        <v>45+</v>
      </c>
      <c r="H106" t="str">
        <f t="shared" si="3"/>
        <v>Low</v>
      </c>
    </row>
    <row r="107" spans="1:8" x14ac:dyDescent="0.35">
      <c r="A107" s="4">
        <v>106</v>
      </c>
      <c r="B107" s="4">
        <v>25</v>
      </c>
      <c r="C107" t="s">
        <v>13</v>
      </c>
      <c r="D107" t="s">
        <v>7</v>
      </c>
      <c r="E107" s="4">
        <v>100</v>
      </c>
      <c r="F107" s="6">
        <v>45397</v>
      </c>
      <c r="G107" t="str">
        <f t="shared" si="2"/>
        <v>25–34</v>
      </c>
      <c r="H107" t="str">
        <f t="shared" si="3"/>
        <v>Medium</v>
      </c>
    </row>
    <row r="108" spans="1:8" x14ac:dyDescent="0.35">
      <c r="A108" s="4">
        <v>107</v>
      </c>
      <c r="B108" s="4">
        <v>28</v>
      </c>
      <c r="C108" t="s">
        <v>6</v>
      </c>
      <c r="D108" t="s">
        <v>9</v>
      </c>
      <c r="E108" s="4">
        <v>100</v>
      </c>
      <c r="F108" s="6">
        <v>45398</v>
      </c>
      <c r="G108" t="str">
        <f t="shared" si="2"/>
        <v>25–34</v>
      </c>
      <c r="H108" t="str">
        <f t="shared" si="3"/>
        <v>Medium</v>
      </c>
    </row>
    <row r="109" spans="1:8" x14ac:dyDescent="0.35">
      <c r="A109" s="4">
        <v>108</v>
      </c>
      <c r="B109" s="4">
        <v>35</v>
      </c>
      <c r="C109" t="s">
        <v>8</v>
      </c>
      <c r="D109" t="s">
        <v>11</v>
      </c>
      <c r="E109" s="4">
        <v>200</v>
      </c>
      <c r="F109" s="6">
        <v>45399</v>
      </c>
      <c r="G109" t="str">
        <f t="shared" si="2"/>
        <v>35–44</v>
      </c>
      <c r="H109" t="str">
        <f t="shared" si="3"/>
        <v>Medium</v>
      </c>
    </row>
    <row r="110" spans="1:8" x14ac:dyDescent="0.35">
      <c r="A110" s="4">
        <v>109</v>
      </c>
      <c r="B110" s="4">
        <v>25</v>
      </c>
      <c r="C110" t="s">
        <v>6</v>
      </c>
      <c r="D110" t="s">
        <v>9</v>
      </c>
      <c r="E110" s="4">
        <v>75</v>
      </c>
      <c r="F110" s="6">
        <v>45400</v>
      </c>
      <c r="G110" t="str">
        <f t="shared" si="2"/>
        <v>25–34</v>
      </c>
      <c r="H110" t="str">
        <f t="shared" si="3"/>
        <v>Low</v>
      </c>
    </row>
    <row r="111" spans="1:8" x14ac:dyDescent="0.35">
      <c r="A111" s="4">
        <v>110</v>
      </c>
      <c r="B111" s="4">
        <v>18</v>
      </c>
      <c r="C111" t="s">
        <v>8</v>
      </c>
      <c r="D111" t="s">
        <v>12</v>
      </c>
      <c r="E111" s="4">
        <v>150</v>
      </c>
      <c r="F111" s="6">
        <v>45401</v>
      </c>
      <c r="G111" t="str">
        <f t="shared" si="2"/>
        <v>18–24</v>
      </c>
      <c r="H111" t="str">
        <f t="shared" si="3"/>
        <v>Medium</v>
      </c>
    </row>
    <row r="112" spans="1:8" x14ac:dyDescent="0.35">
      <c r="A112" s="4">
        <v>111</v>
      </c>
      <c r="B112" s="4">
        <v>25</v>
      </c>
      <c r="C112" t="s">
        <v>8</v>
      </c>
      <c r="D112" t="s">
        <v>12</v>
      </c>
      <c r="E112" s="4">
        <v>200</v>
      </c>
      <c r="F112" s="6">
        <v>45402</v>
      </c>
      <c r="G112" t="str">
        <f t="shared" si="2"/>
        <v>25–34</v>
      </c>
      <c r="H112" t="str">
        <f t="shared" si="3"/>
        <v>Medium</v>
      </c>
    </row>
    <row r="113" spans="1:8" x14ac:dyDescent="0.35">
      <c r="A113" s="4">
        <v>112</v>
      </c>
      <c r="B113" s="4">
        <v>22</v>
      </c>
      <c r="C113" t="s">
        <v>8</v>
      </c>
      <c r="D113" t="s">
        <v>10</v>
      </c>
      <c r="E113" s="4">
        <v>150</v>
      </c>
      <c r="F113" s="6">
        <v>45403</v>
      </c>
      <c r="G113" t="str">
        <f t="shared" si="2"/>
        <v>18–24</v>
      </c>
      <c r="H113" t="str">
        <f t="shared" si="3"/>
        <v>Medium</v>
      </c>
    </row>
    <row r="114" spans="1:8" x14ac:dyDescent="0.35">
      <c r="A114" s="4">
        <v>113</v>
      </c>
      <c r="B114" s="4">
        <v>45</v>
      </c>
      <c r="C114" t="s">
        <v>8</v>
      </c>
      <c r="D114" t="s">
        <v>9</v>
      </c>
      <c r="E114" s="4">
        <v>100</v>
      </c>
      <c r="F114" s="6">
        <v>45404</v>
      </c>
      <c r="G114" t="str">
        <f t="shared" si="2"/>
        <v>45+</v>
      </c>
      <c r="H114" t="str">
        <f t="shared" si="3"/>
        <v>Medium</v>
      </c>
    </row>
    <row r="115" spans="1:8" x14ac:dyDescent="0.35">
      <c r="A115" s="4">
        <v>114</v>
      </c>
      <c r="B115" s="4">
        <v>40</v>
      </c>
      <c r="C115" t="s">
        <v>13</v>
      </c>
      <c r="D115" t="s">
        <v>11</v>
      </c>
      <c r="E115" s="4">
        <v>100</v>
      </c>
      <c r="F115" s="6">
        <v>45405</v>
      </c>
      <c r="G115" t="str">
        <f t="shared" si="2"/>
        <v>35–44</v>
      </c>
      <c r="H115" t="str">
        <f t="shared" si="3"/>
        <v>Medium</v>
      </c>
    </row>
    <row r="116" spans="1:8" x14ac:dyDescent="0.35">
      <c r="A116" s="4">
        <v>115</v>
      </c>
      <c r="B116" s="4">
        <v>30</v>
      </c>
      <c r="C116" t="s">
        <v>6</v>
      </c>
      <c r="D116" t="s">
        <v>7</v>
      </c>
      <c r="E116" s="4">
        <v>100</v>
      </c>
      <c r="F116" s="6">
        <v>45406</v>
      </c>
      <c r="G116" t="str">
        <f t="shared" si="2"/>
        <v>25–34</v>
      </c>
      <c r="H116" t="str">
        <f t="shared" si="3"/>
        <v>Medium</v>
      </c>
    </row>
    <row r="117" spans="1:8" x14ac:dyDescent="0.35">
      <c r="A117" s="4">
        <v>116</v>
      </c>
      <c r="B117" s="4">
        <v>40</v>
      </c>
      <c r="C117" t="s">
        <v>6</v>
      </c>
      <c r="D117" t="s">
        <v>7</v>
      </c>
      <c r="E117" s="4">
        <v>300</v>
      </c>
      <c r="F117" s="6">
        <v>45407</v>
      </c>
      <c r="G117" t="str">
        <f t="shared" si="2"/>
        <v>35–44</v>
      </c>
      <c r="H117" t="str">
        <f t="shared" si="3"/>
        <v>High</v>
      </c>
    </row>
    <row r="118" spans="1:8" x14ac:dyDescent="0.35">
      <c r="A118" s="4">
        <v>117</v>
      </c>
      <c r="B118" s="4">
        <v>40</v>
      </c>
      <c r="C118" t="s">
        <v>8</v>
      </c>
      <c r="D118" t="s">
        <v>10</v>
      </c>
      <c r="E118" s="4">
        <v>200</v>
      </c>
      <c r="F118" s="6">
        <v>45408</v>
      </c>
      <c r="G118" t="str">
        <f t="shared" si="2"/>
        <v>35–44</v>
      </c>
      <c r="H118" t="str">
        <f t="shared" si="3"/>
        <v>Medium</v>
      </c>
    </row>
    <row r="119" spans="1:8" x14ac:dyDescent="0.35">
      <c r="A119" s="4">
        <v>118</v>
      </c>
      <c r="B119" s="4">
        <v>22</v>
      </c>
      <c r="C119" t="s">
        <v>8</v>
      </c>
      <c r="D119" t="s">
        <v>11</v>
      </c>
      <c r="E119" s="4">
        <v>500</v>
      </c>
      <c r="F119" s="6">
        <v>45409</v>
      </c>
      <c r="G119" t="str">
        <f t="shared" si="2"/>
        <v>18–24</v>
      </c>
      <c r="H119" t="str">
        <f t="shared" si="3"/>
        <v>High</v>
      </c>
    </row>
    <row r="120" spans="1:8" x14ac:dyDescent="0.35">
      <c r="A120" s="4">
        <v>119</v>
      </c>
      <c r="B120" s="4">
        <v>40</v>
      </c>
      <c r="C120" t="s">
        <v>8</v>
      </c>
      <c r="D120" t="s">
        <v>13</v>
      </c>
      <c r="E120" s="4">
        <v>50</v>
      </c>
      <c r="F120" s="6">
        <v>45410</v>
      </c>
      <c r="G120" t="str">
        <f t="shared" si="2"/>
        <v>35–44</v>
      </c>
      <c r="H120" t="str">
        <f t="shared" si="3"/>
        <v>Low</v>
      </c>
    </row>
    <row r="121" spans="1:8" x14ac:dyDescent="0.35">
      <c r="A121" s="4">
        <v>120</v>
      </c>
      <c r="B121" s="4">
        <v>30</v>
      </c>
      <c r="C121" t="s">
        <v>8</v>
      </c>
      <c r="D121" t="s">
        <v>7</v>
      </c>
      <c r="E121" s="4">
        <v>200</v>
      </c>
      <c r="F121" s="6">
        <v>45411</v>
      </c>
      <c r="G121" t="str">
        <f t="shared" si="2"/>
        <v>25–34</v>
      </c>
      <c r="H121" t="str">
        <f t="shared" si="3"/>
        <v>Medium</v>
      </c>
    </row>
    <row r="122" spans="1:8" x14ac:dyDescent="0.35">
      <c r="A122" s="4">
        <v>121</v>
      </c>
      <c r="B122" s="4">
        <v>40</v>
      </c>
      <c r="C122" t="s">
        <v>6</v>
      </c>
      <c r="D122" t="s">
        <v>12</v>
      </c>
      <c r="E122" s="4">
        <v>300</v>
      </c>
      <c r="F122" s="6">
        <v>45412</v>
      </c>
      <c r="G122" t="str">
        <f t="shared" si="2"/>
        <v>35–44</v>
      </c>
      <c r="H122" t="str">
        <f t="shared" si="3"/>
        <v>High</v>
      </c>
    </row>
    <row r="123" spans="1:8" x14ac:dyDescent="0.35">
      <c r="A123" s="4">
        <v>122</v>
      </c>
      <c r="B123" s="4">
        <v>40</v>
      </c>
      <c r="C123" t="s">
        <v>6</v>
      </c>
      <c r="D123" t="s">
        <v>10</v>
      </c>
      <c r="E123" s="4">
        <v>75</v>
      </c>
      <c r="F123" s="6">
        <v>45413</v>
      </c>
      <c r="G123" t="str">
        <f t="shared" si="2"/>
        <v>35–44</v>
      </c>
      <c r="H123" t="str">
        <f t="shared" si="3"/>
        <v>Low</v>
      </c>
    </row>
    <row r="124" spans="1:8" x14ac:dyDescent="0.35">
      <c r="A124" s="4">
        <v>123</v>
      </c>
      <c r="B124" s="4">
        <v>25</v>
      </c>
      <c r="C124" t="s">
        <v>6</v>
      </c>
      <c r="D124" t="s">
        <v>13</v>
      </c>
      <c r="E124" s="4">
        <v>50</v>
      </c>
      <c r="F124" s="6">
        <v>45414</v>
      </c>
      <c r="G124" t="str">
        <f t="shared" si="2"/>
        <v>25–34</v>
      </c>
      <c r="H124" t="str">
        <f t="shared" si="3"/>
        <v>Low</v>
      </c>
    </row>
    <row r="125" spans="1:8" x14ac:dyDescent="0.35">
      <c r="A125" s="4">
        <v>124</v>
      </c>
      <c r="B125" s="4">
        <v>22</v>
      </c>
      <c r="C125" t="s">
        <v>8</v>
      </c>
      <c r="D125" t="s">
        <v>11</v>
      </c>
      <c r="E125" s="4">
        <v>200</v>
      </c>
      <c r="F125" s="6">
        <v>45415</v>
      </c>
      <c r="G125" t="str">
        <f t="shared" si="2"/>
        <v>18–24</v>
      </c>
      <c r="H125" t="str">
        <f t="shared" si="3"/>
        <v>Medium</v>
      </c>
    </row>
    <row r="126" spans="1:8" x14ac:dyDescent="0.35">
      <c r="A126" s="4">
        <v>125</v>
      </c>
      <c r="B126" s="4">
        <v>25</v>
      </c>
      <c r="C126" t="s">
        <v>13</v>
      </c>
      <c r="D126" t="s">
        <v>11</v>
      </c>
      <c r="E126" s="4">
        <v>150</v>
      </c>
      <c r="F126" s="6">
        <v>45416</v>
      </c>
      <c r="G126" t="str">
        <f t="shared" si="2"/>
        <v>25–34</v>
      </c>
      <c r="H126" t="str">
        <f t="shared" si="3"/>
        <v>Medium</v>
      </c>
    </row>
    <row r="127" spans="1:8" x14ac:dyDescent="0.35">
      <c r="A127" s="4">
        <v>126</v>
      </c>
      <c r="B127" s="4">
        <v>28</v>
      </c>
      <c r="C127" t="s">
        <v>6</v>
      </c>
      <c r="D127" t="s">
        <v>10</v>
      </c>
      <c r="E127" s="4">
        <v>200</v>
      </c>
      <c r="F127" s="6">
        <v>45417</v>
      </c>
      <c r="G127" t="str">
        <f t="shared" si="2"/>
        <v>25–34</v>
      </c>
      <c r="H127" t="str">
        <f t="shared" si="3"/>
        <v>Medium</v>
      </c>
    </row>
    <row r="128" spans="1:8" x14ac:dyDescent="0.35">
      <c r="A128" s="4">
        <v>127</v>
      </c>
      <c r="B128" s="4">
        <v>40</v>
      </c>
      <c r="C128" t="s">
        <v>6</v>
      </c>
      <c r="D128" t="s">
        <v>10</v>
      </c>
      <c r="E128" s="4">
        <v>50</v>
      </c>
      <c r="F128" s="6">
        <v>45418</v>
      </c>
      <c r="G128" t="str">
        <f t="shared" si="2"/>
        <v>35–44</v>
      </c>
      <c r="H128" t="str">
        <f t="shared" si="3"/>
        <v>Low</v>
      </c>
    </row>
    <row r="129" spans="1:8" x14ac:dyDescent="0.35">
      <c r="A129" s="4">
        <v>128</v>
      </c>
      <c r="B129" s="4">
        <v>40</v>
      </c>
      <c r="C129" t="s">
        <v>6</v>
      </c>
      <c r="D129" t="s">
        <v>7</v>
      </c>
      <c r="E129" s="4">
        <v>200</v>
      </c>
      <c r="F129" s="6">
        <v>45419</v>
      </c>
      <c r="G129" t="str">
        <f t="shared" si="2"/>
        <v>35–44</v>
      </c>
      <c r="H129" t="str">
        <f t="shared" si="3"/>
        <v>Medium</v>
      </c>
    </row>
    <row r="130" spans="1:8" x14ac:dyDescent="0.35">
      <c r="A130" s="4">
        <v>129</v>
      </c>
      <c r="B130" s="4">
        <v>18</v>
      </c>
      <c r="C130" t="s">
        <v>8</v>
      </c>
      <c r="D130" t="s">
        <v>7</v>
      </c>
      <c r="E130" s="4">
        <v>75</v>
      </c>
      <c r="F130" s="6">
        <v>45420</v>
      </c>
      <c r="G130" t="str">
        <f t="shared" si="2"/>
        <v>18–24</v>
      </c>
      <c r="H130" t="str">
        <f t="shared" si="3"/>
        <v>Low</v>
      </c>
    </row>
    <row r="131" spans="1:8" x14ac:dyDescent="0.35">
      <c r="A131" s="4">
        <v>130</v>
      </c>
      <c r="B131" s="4">
        <v>30</v>
      </c>
      <c r="C131" t="s">
        <v>8</v>
      </c>
      <c r="D131" t="s">
        <v>11</v>
      </c>
      <c r="E131" s="4">
        <v>75</v>
      </c>
      <c r="F131" s="6">
        <v>45421</v>
      </c>
      <c r="G131" t="str">
        <f t="shared" ref="G131:G194" si="4">IF(B131&lt;25,"18–24",IF(B131&lt;35,"25–34",IF(B131&lt;45,"35–44","45+")))</f>
        <v>25–34</v>
      </c>
      <c r="H131" t="str">
        <f t="shared" ref="H131:H194" si="5">IF(E131&lt;100,"Low",IF(E131&lt;=250,"Medium","High"))</f>
        <v>Low</v>
      </c>
    </row>
    <row r="132" spans="1:8" x14ac:dyDescent="0.35">
      <c r="A132" s="4">
        <v>131</v>
      </c>
      <c r="B132" s="4">
        <v>28</v>
      </c>
      <c r="C132" t="s">
        <v>8</v>
      </c>
      <c r="D132" t="s">
        <v>11</v>
      </c>
      <c r="E132" s="4">
        <v>75</v>
      </c>
      <c r="F132" s="6">
        <v>45422</v>
      </c>
      <c r="G132" t="str">
        <f t="shared" si="4"/>
        <v>25–34</v>
      </c>
      <c r="H132" t="str">
        <f t="shared" si="5"/>
        <v>Low</v>
      </c>
    </row>
    <row r="133" spans="1:8" x14ac:dyDescent="0.35">
      <c r="A133" s="4">
        <v>132</v>
      </c>
      <c r="B133" s="4">
        <v>25</v>
      </c>
      <c r="C133" t="s">
        <v>6</v>
      </c>
      <c r="D133" t="s">
        <v>13</v>
      </c>
      <c r="E133" s="4">
        <v>200</v>
      </c>
      <c r="F133" s="6">
        <v>45423</v>
      </c>
      <c r="G133" t="str">
        <f t="shared" si="4"/>
        <v>25–34</v>
      </c>
      <c r="H133" t="str">
        <f t="shared" si="5"/>
        <v>Medium</v>
      </c>
    </row>
    <row r="134" spans="1:8" x14ac:dyDescent="0.35">
      <c r="A134" s="4">
        <v>133</v>
      </c>
      <c r="B134" s="4">
        <v>22</v>
      </c>
      <c r="C134" t="s">
        <v>8</v>
      </c>
      <c r="D134" t="s">
        <v>13</v>
      </c>
      <c r="E134" s="4">
        <v>150</v>
      </c>
      <c r="F134" s="6">
        <v>45424</v>
      </c>
      <c r="G134" t="str">
        <f t="shared" si="4"/>
        <v>18–24</v>
      </c>
      <c r="H134" t="str">
        <f t="shared" si="5"/>
        <v>Medium</v>
      </c>
    </row>
    <row r="135" spans="1:8" x14ac:dyDescent="0.35">
      <c r="A135" s="4">
        <v>134</v>
      </c>
      <c r="B135" s="4">
        <v>25</v>
      </c>
      <c r="C135" t="s">
        <v>8</v>
      </c>
      <c r="D135" t="s">
        <v>12</v>
      </c>
      <c r="E135" s="4">
        <v>150</v>
      </c>
      <c r="F135" s="6">
        <v>45425</v>
      </c>
      <c r="G135" t="str">
        <f t="shared" si="4"/>
        <v>25–34</v>
      </c>
      <c r="H135" t="str">
        <f t="shared" si="5"/>
        <v>Medium</v>
      </c>
    </row>
    <row r="136" spans="1:8" x14ac:dyDescent="0.35">
      <c r="A136" s="4">
        <v>135</v>
      </c>
      <c r="B136" s="4">
        <v>45</v>
      </c>
      <c r="C136" t="s">
        <v>8</v>
      </c>
      <c r="D136" t="s">
        <v>11</v>
      </c>
      <c r="E136" s="4">
        <v>100</v>
      </c>
      <c r="F136" s="6">
        <v>45426</v>
      </c>
      <c r="G136" t="str">
        <f t="shared" si="4"/>
        <v>45+</v>
      </c>
      <c r="H136" t="str">
        <f t="shared" si="5"/>
        <v>Medium</v>
      </c>
    </row>
    <row r="137" spans="1:8" x14ac:dyDescent="0.35">
      <c r="A137" s="4">
        <v>136</v>
      </c>
      <c r="B137" s="4">
        <v>25</v>
      </c>
      <c r="C137" t="s">
        <v>8</v>
      </c>
      <c r="D137" t="s">
        <v>9</v>
      </c>
      <c r="E137" s="4">
        <v>300</v>
      </c>
      <c r="F137" s="6">
        <v>45427</v>
      </c>
      <c r="G137" t="str">
        <f t="shared" si="4"/>
        <v>25–34</v>
      </c>
      <c r="H137" t="str">
        <f t="shared" si="5"/>
        <v>High</v>
      </c>
    </row>
    <row r="138" spans="1:8" x14ac:dyDescent="0.35">
      <c r="A138" s="4">
        <v>137</v>
      </c>
      <c r="B138" s="4">
        <v>30</v>
      </c>
      <c r="C138" t="s">
        <v>6</v>
      </c>
      <c r="D138" t="s">
        <v>11</v>
      </c>
      <c r="E138" s="4">
        <v>100</v>
      </c>
      <c r="F138" s="6">
        <v>45428</v>
      </c>
      <c r="G138" t="str">
        <f t="shared" si="4"/>
        <v>25–34</v>
      </c>
      <c r="H138" t="str">
        <f t="shared" si="5"/>
        <v>Medium</v>
      </c>
    </row>
    <row r="139" spans="1:8" x14ac:dyDescent="0.35">
      <c r="A139" s="4">
        <v>138</v>
      </c>
      <c r="B139" s="4">
        <v>35</v>
      </c>
      <c r="C139" t="s">
        <v>6</v>
      </c>
      <c r="D139" t="s">
        <v>7</v>
      </c>
      <c r="E139" s="4">
        <v>200</v>
      </c>
      <c r="F139" s="6">
        <v>45429</v>
      </c>
      <c r="G139" t="str">
        <f t="shared" si="4"/>
        <v>35–44</v>
      </c>
      <c r="H139" t="str">
        <f t="shared" si="5"/>
        <v>Medium</v>
      </c>
    </row>
    <row r="140" spans="1:8" x14ac:dyDescent="0.35">
      <c r="A140" s="4">
        <v>139</v>
      </c>
      <c r="B140" s="4">
        <v>28</v>
      </c>
      <c r="C140" t="s">
        <v>6</v>
      </c>
      <c r="D140" t="s">
        <v>10</v>
      </c>
      <c r="E140" s="4">
        <v>100</v>
      </c>
      <c r="F140" s="6">
        <v>45430</v>
      </c>
      <c r="G140" t="str">
        <f t="shared" si="4"/>
        <v>25–34</v>
      </c>
      <c r="H140" t="str">
        <f t="shared" si="5"/>
        <v>Medium</v>
      </c>
    </row>
    <row r="141" spans="1:8" x14ac:dyDescent="0.35">
      <c r="A141" s="4">
        <v>140</v>
      </c>
      <c r="B141" s="4">
        <v>28</v>
      </c>
      <c r="C141" t="s">
        <v>8</v>
      </c>
      <c r="D141" t="s">
        <v>7</v>
      </c>
      <c r="E141" s="4">
        <v>100</v>
      </c>
      <c r="F141" s="6">
        <v>45431</v>
      </c>
      <c r="G141" t="str">
        <f t="shared" si="4"/>
        <v>25–34</v>
      </c>
      <c r="H141" t="str">
        <f t="shared" si="5"/>
        <v>Medium</v>
      </c>
    </row>
    <row r="142" spans="1:8" x14ac:dyDescent="0.35">
      <c r="A142" s="4">
        <v>141</v>
      </c>
      <c r="B142" s="4">
        <v>28</v>
      </c>
      <c r="C142" t="s">
        <v>6</v>
      </c>
      <c r="D142" t="s">
        <v>13</v>
      </c>
      <c r="E142" s="4">
        <v>100</v>
      </c>
      <c r="F142" s="6">
        <v>45432</v>
      </c>
      <c r="G142" t="str">
        <f t="shared" si="4"/>
        <v>25–34</v>
      </c>
      <c r="H142" t="str">
        <f t="shared" si="5"/>
        <v>Medium</v>
      </c>
    </row>
    <row r="143" spans="1:8" x14ac:dyDescent="0.35">
      <c r="A143" s="4">
        <v>142</v>
      </c>
      <c r="B143" s="4">
        <v>25</v>
      </c>
      <c r="C143" t="s">
        <v>6</v>
      </c>
      <c r="D143" t="s">
        <v>12</v>
      </c>
      <c r="E143" s="4">
        <v>100</v>
      </c>
      <c r="F143" s="6">
        <v>45433</v>
      </c>
      <c r="G143" t="str">
        <f t="shared" si="4"/>
        <v>25–34</v>
      </c>
      <c r="H143" t="str">
        <f t="shared" si="5"/>
        <v>Medium</v>
      </c>
    </row>
    <row r="144" spans="1:8" x14ac:dyDescent="0.35">
      <c r="A144" s="4">
        <v>143</v>
      </c>
      <c r="B144" s="4">
        <v>28</v>
      </c>
      <c r="C144" t="s">
        <v>8</v>
      </c>
      <c r="D144" t="s">
        <v>7</v>
      </c>
      <c r="E144" s="4">
        <v>200</v>
      </c>
      <c r="F144" s="6">
        <v>45434</v>
      </c>
      <c r="G144" t="str">
        <f t="shared" si="4"/>
        <v>25–34</v>
      </c>
      <c r="H144" t="str">
        <f t="shared" si="5"/>
        <v>Medium</v>
      </c>
    </row>
    <row r="145" spans="1:8" x14ac:dyDescent="0.35">
      <c r="A145" s="4">
        <v>144</v>
      </c>
      <c r="B145" s="4">
        <v>25</v>
      </c>
      <c r="C145" t="s">
        <v>8</v>
      </c>
      <c r="D145" t="s">
        <v>12</v>
      </c>
      <c r="E145" s="4">
        <v>150</v>
      </c>
      <c r="F145" s="6">
        <v>45435</v>
      </c>
      <c r="G145" t="str">
        <f t="shared" si="4"/>
        <v>25–34</v>
      </c>
      <c r="H145" t="str">
        <f t="shared" si="5"/>
        <v>Medium</v>
      </c>
    </row>
    <row r="146" spans="1:8" x14ac:dyDescent="0.35">
      <c r="A146" s="4">
        <v>145</v>
      </c>
      <c r="B146" s="4">
        <v>25</v>
      </c>
      <c r="C146" t="s">
        <v>8</v>
      </c>
      <c r="D146" t="s">
        <v>12</v>
      </c>
      <c r="E146" s="4">
        <v>75</v>
      </c>
      <c r="F146" s="6">
        <v>45436</v>
      </c>
      <c r="G146" t="str">
        <f t="shared" si="4"/>
        <v>25–34</v>
      </c>
      <c r="H146" t="str">
        <f t="shared" si="5"/>
        <v>Low</v>
      </c>
    </row>
    <row r="147" spans="1:8" x14ac:dyDescent="0.35">
      <c r="A147" s="4">
        <v>146</v>
      </c>
      <c r="B147" s="4">
        <v>18</v>
      </c>
      <c r="C147" t="s">
        <v>6</v>
      </c>
      <c r="D147" t="s">
        <v>10</v>
      </c>
      <c r="E147" s="4">
        <v>300</v>
      </c>
      <c r="F147" s="6">
        <v>45437</v>
      </c>
      <c r="G147" t="str">
        <f t="shared" si="4"/>
        <v>18–24</v>
      </c>
      <c r="H147" t="str">
        <f t="shared" si="5"/>
        <v>High</v>
      </c>
    </row>
    <row r="148" spans="1:8" x14ac:dyDescent="0.35">
      <c r="A148" s="4">
        <v>147</v>
      </c>
      <c r="B148" s="4">
        <v>30</v>
      </c>
      <c r="C148" t="s">
        <v>6</v>
      </c>
      <c r="D148" t="s">
        <v>7</v>
      </c>
      <c r="E148" s="4">
        <v>100</v>
      </c>
      <c r="F148" s="6">
        <v>45438</v>
      </c>
      <c r="G148" t="str">
        <f t="shared" si="4"/>
        <v>25–34</v>
      </c>
      <c r="H148" t="str">
        <f t="shared" si="5"/>
        <v>Medium</v>
      </c>
    </row>
    <row r="149" spans="1:8" x14ac:dyDescent="0.35">
      <c r="A149" s="4">
        <v>148</v>
      </c>
      <c r="B149" s="4">
        <v>30</v>
      </c>
      <c r="C149" t="s">
        <v>8</v>
      </c>
      <c r="D149" t="s">
        <v>12</v>
      </c>
      <c r="E149" s="4">
        <v>150</v>
      </c>
      <c r="F149" s="6">
        <v>45439</v>
      </c>
      <c r="G149" t="str">
        <f t="shared" si="4"/>
        <v>25–34</v>
      </c>
      <c r="H149" t="str">
        <f t="shared" si="5"/>
        <v>Medium</v>
      </c>
    </row>
    <row r="150" spans="1:8" x14ac:dyDescent="0.35">
      <c r="A150" s="4">
        <v>149</v>
      </c>
      <c r="B150" s="4">
        <v>18</v>
      </c>
      <c r="C150" t="s">
        <v>8</v>
      </c>
      <c r="D150" t="s">
        <v>10</v>
      </c>
      <c r="E150" s="4">
        <v>300</v>
      </c>
      <c r="F150" s="6">
        <v>45440</v>
      </c>
      <c r="G150" t="str">
        <f t="shared" si="4"/>
        <v>18–24</v>
      </c>
      <c r="H150" t="str">
        <f t="shared" si="5"/>
        <v>High</v>
      </c>
    </row>
    <row r="151" spans="1:8" x14ac:dyDescent="0.35">
      <c r="A151" s="4">
        <v>150</v>
      </c>
      <c r="B151" s="4">
        <v>25</v>
      </c>
      <c r="C151" t="s">
        <v>6</v>
      </c>
      <c r="D151" t="s">
        <v>11</v>
      </c>
      <c r="E151" s="4">
        <v>150</v>
      </c>
      <c r="F151" s="6">
        <v>45441</v>
      </c>
      <c r="G151" t="str">
        <f t="shared" si="4"/>
        <v>25–34</v>
      </c>
      <c r="H151" t="str">
        <f t="shared" si="5"/>
        <v>Medium</v>
      </c>
    </row>
    <row r="152" spans="1:8" x14ac:dyDescent="0.35">
      <c r="A152" s="4">
        <v>151</v>
      </c>
      <c r="B152" s="4">
        <v>45</v>
      </c>
      <c r="C152" t="s">
        <v>6</v>
      </c>
      <c r="D152" t="s">
        <v>10</v>
      </c>
      <c r="E152" s="4">
        <v>50</v>
      </c>
      <c r="F152" s="6">
        <v>45442</v>
      </c>
      <c r="G152" t="str">
        <f t="shared" si="4"/>
        <v>45+</v>
      </c>
      <c r="H152" t="str">
        <f t="shared" si="5"/>
        <v>Low</v>
      </c>
    </row>
    <row r="153" spans="1:8" x14ac:dyDescent="0.35">
      <c r="A153" s="4">
        <v>152</v>
      </c>
      <c r="B153" s="4">
        <v>25</v>
      </c>
      <c r="C153" t="s">
        <v>6</v>
      </c>
      <c r="D153" t="s">
        <v>11</v>
      </c>
      <c r="E153" s="4">
        <v>300</v>
      </c>
      <c r="F153" s="6">
        <v>45443</v>
      </c>
      <c r="G153" t="str">
        <f t="shared" si="4"/>
        <v>25–34</v>
      </c>
      <c r="H153" t="str">
        <f t="shared" si="5"/>
        <v>High</v>
      </c>
    </row>
    <row r="154" spans="1:8" x14ac:dyDescent="0.35">
      <c r="A154" s="4">
        <v>153</v>
      </c>
      <c r="B154" s="4">
        <v>22</v>
      </c>
      <c r="C154" t="s">
        <v>6</v>
      </c>
      <c r="D154" t="s">
        <v>12</v>
      </c>
      <c r="E154" s="4">
        <v>150</v>
      </c>
      <c r="F154" s="6">
        <v>45444</v>
      </c>
      <c r="G154" t="str">
        <f t="shared" si="4"/>
        <v>18–24</v>
      </c>
      <c r="H154" t="str">
        <f t="shared" si="5"/>
        <v>Medium</v>
      </c>
    </row>
    <row r="155" spans="1:8" x14ac:dyDescent="0.35">
      <c r="A155" s="4">
        <v>154</v>
      </c>
      <c r="B155" s="4">
        <v>28</v>
      </c>
      <c r="C155" t="s">
        <v>8</v>
      </c>
      <c r="D155" t="s">
        <v>12</v>
      </c>
      <c r="E155" s="4">
        <v>100</v>
      </c>
      <c r="F155" s="6">
        <v>45445</v>
      </c>
      <c r="G155" t="str">
        <f t="shared" si="4"/>
        <v>25–34</v>
      </c>
      <c r="H155" t="str">
        <f t="shared" si="5"/>
        <v>Medium</v>
      </c>
    </row>
    <row r="156" spans="1:8" x14ac:dyDescent="0.35">
      <c r="A156" s="4">
        <v>155</v>
      </c>
      <c r="B156" s="4">
        <v>28</v>
      </c>
      <c r="C156" t="s">
        <v>8</v>
      </c>
      <c r="D156" t="s">
        <v>11</v>
      </c>
      <c r="E156" s="4">
        <v>50</v>
      </c>
      <c r="F156" s="6">
        <v>45446</v>
      </c>
      <c r="G156" t="str">
        <f t="shared" si="4"/>
        <v>25–34</v>
      </c>
      <c r="H156" t="str">
        <f t="shared" si="5"/>
        <v>Low</v>
      </c>
    </row>
    <row r="157" spans="1:8" x14ac:dyDescent="0.35">
      <c r="A157" s="4">
        <v>156</v>
      </c>
      <c r="B157" s="4">
        <v>25</v>
      </c>
      <c r="C157" t="s">
        <v>6</v>
      </c>
      <c r="D157" t="s">
        <v>10</v>
      </c>
      <c r="E157" s="4">
        <v>200</v>
      </c>
      <c r="F157" s="6">
        <v>45447</v>
      </c>
      <c r="G157" t="str">
        <f t="shared" si="4"/>
        <v>25–34</v>
      </c>
      <c r="H157" t="str">
        <f t="shared" si="5"/>
        <v>Medium</v>
      </c>
    </row>
    <row r="158" spans="1:8" x14ac:dyDescent="0.35">
      <c r="A158" s="4">
        <v>157</v>
      </c>
      <c r="B158" s="4">
        <v>35</v>
      </c>
      <c r="C158" t="s">
        <v>8</v>
      </c>
      <c r="D158" t="s">
        <v>7</v>
      </c>
      <c r="E158" s="4">
        <v>150</v>
      </c>
      <c r="F158" s="6">
        <v>45448</v>
      </c>
      <c r="G158" t="str">
        <f t="shared" si="4"/>
        <v>35–44</v>
      </c>
      <c r="H158" t="str">
        <f t="shared" si="5"/>
        <v>Medium</v>
      </c>
    </row>
    <row r="159" spans="1:8" x14ac:dyDescent="0.35">
      <c r="A159" s="4">
        <v>158</v>
      </c>
      <c r="B159" s="4">
        <v>35</v>
      </c>
      <c r="C159" t="s">
        <v>6</v>
      </c>
      <c r="D159" t="s">
        <v>7</v>
      </c>
      <c r="E159" s="4">
        <v>150</v>
      </c>
      <c r="F159" s="6">
        <v>45449</v>
      </c>
      <c r="G159" t="str">
        <f t="shared" si="4"/>
        <v>35–44</v>
      </c>
      <c r="H159" t="str">
        <f t="shared" si="5"/>
        <v>Medium</v>
      </c>
    </row>
    <row r="160" spans="1:8" x14ac:dyDescent="0.35">
      <c r="A160" s="4">
        <v>159</v>
      </c>
      <c r="B160" s="4">
        <v>25</v>
      </c>
      <c r="C160" t="s">
        <v>6</v>
      </c>
      <c r="D160" t="s">
        <v>11</v>
      </c>
      <c r="E160" s="4">
        <v>300</v>
      </c>
      <c r="F160" s="6">
        <v>45450</v>
      </c>
      <c r="G160" t="str">
        <f t="shared" si="4"/>
        <v>25–34</v>
      </c>
      <c r="H160" t="str">
        <f t="shared" si="5"/>
        <v>High</v>
      </c>
    </row>
    <row r="161" spans="1:8" x14ac:dyDescent="0.35">
      <c r="A161" s="4">
        <v>160</v>
      </c>
      <c r="B161" s="4">
        <v>35</v>
      </c>
      <c r="C161" t="s">
        <v>6</v>
      </c>
      <c r="D161" t="s">
        <v>12</v>
      </c>
      <c r="E161" s="4">
        <v>200</v>
      </c>
      <c r="F161" s="6">
        <v>45451</v>
      </c>
      <c r="G161" t="str">
        <f t="shared" si="4"/>
        <v>35–44</v>
      </c>
      <c r="H161" t="str">
        <f t="shared" si="5"/>
        <v>Medium</v>
      </c>
    </row>
    <row r="162" spans="1:8" x14ac:dyDescent="0.35">
      <c r="A162" s="4">
        <v>161</v>
      </c>
      <c r="B162" s="4">
        <v>28</v>
      </c>
      <c r="C162" t="s">
        <v>8</v>
      </c>
      <c r="D162" t="s">
        <v>12</v>
      </c>
      <c r="E162" s="4">
        <v>75</v>
      </c>
      <c r="F162" s="6">
        <v>45452</v>
      </c>
      <c r="G162" t="str">
        <f t="shared" si="4"/>
        <v>25–34</v>
      </c>
      <c r="H162" t="str">
        <f t="shared" si="5"/>
        <v>Low</v>
      </c>
    </row>
    <row r="163" spans="1:8" x14ac:dyDescent="0.35">
      <c r="A163" s="4">
        <v>162</v>
      </c>
      <c r="B163" s="4">
        <v>30</v>
      </c>
      <c r="C163" t="s">
        <v>6</v>
      </c>
      <c r="D163" t="s">
        <v>7</v>
      </c>
      <c r="E163" s="4">
        <v>100</v>
      </c>
      <c r="F163" s="6">
        <v>45453</v>
      </c>
      <c r="G163" t="str">
        <f t="shared" si="4"/>
        <v>25–34</v>
      </c>
      <c r="H163" t="str">
        <f t="shared" si="5"/>
        <v>Medium</v>
      </c>
    </row>
    <row r="164" spans="1:8" x14ac:dyDescent="0.35">
      <c r="A164" s="4">
        <v>163</v>
      </c>
      <c r="B164" s="4">
        <v>30</v>
      </c>
      <c r="C164" t="s">
        <v>8</v>
      </c>
      <c r="D164" t="s">
        <v>7</v>
      </c>
      <c r="E164" s="4">
        <v>75</v>
      </c>
      <c r="F164" s="6">
        <v>45454</v>
      </c>
      <c r="G164" t="str">
        <f t="shared" si="4"/>
        <v>25–34</v>
      </c>
      <c r="H164" t="str">
        <f t="shared" si="5"/>
        <v>Low</v>
      </c>
    </row>
    <row r="165" spans="1:8" x14ac:dyDescent="0.35">
      <c r="A165" s="4">
        <v>164</v>
      </c>
      <c r="B165" s="4">
        <v>30</v>
      </c>
      <c r="C165" t="s">
        <v>6</v>
      </c>
      <c r="D165" t="s">
        <v>7</v>
      </c>
      <c r="E165" s="4">
        <v>200</v>
      </c>
      <c r="F165" s="6">
        <v>45455</v>
      </c>
      <c r="G165" t="str">
        <f t="shared" si="4"/>
        <v>25–34</v>
      </c>
      <c r="H165" t="str">
        <f t="shared" si="5"/>
        <v>Medium</v>
      </c>
    </row>
    <row r="166" spans="1:8" x14ac:dyDescent="0.35">
      <c r="A166" s="4">
        <v>165</v>
      </c>
      <c r="B166" s="4">
        <v>22</v>
      </c>
      <c r="C166" t="s">
        <v>6</v>
      </c>
      <c r="D166" t="s">
        <v>10</v>
      </c>
      <c r="E166" s="4">
        <v>50</v>
      </c>
      <c r="F166" s="6">
        <v>45456</v>
      </c>
      <c r="G166" t="str">
        <f t="shared" si="4"/>
        <v>18–24</v>
      </c>
      <c r="H166" t="str">
        <f t="shared" si="5"/>
        <v>Low</v>
      </c>
    </row>
    <row r="167" spans="1:8" x14ac:dyDescent="0.35">
      <c r="A167" s="4">
        <v>166</v>
      </c>
      <c r="B167" s="4">
        <v>40</v>
      </c>
      <c r="C167" t="s">
        <v>8</v>
      </c>
      <c r="D167" t="s">
        <v>12</v>
      </c>
      <c r="E167" s="4">
        <v>150</v>
      </c>
      <c r="F167" s="6">
        <v>45457</v>
      </c>
      <c r="G167" t="str">
        <f t="shared" si="4"/>
        <v>35–44</v>
      </c>
      <c r="H167" t="str">
        <f t="shared" si="5"/>
        <v>Medium</v>
      </c>
    </row>
    <row r="168" spans="1:8" x14ac:dyDescent="0.35">
      <c r="A168" s="4">
        <v>167</v>
      </c>
      <c r="B168" s="4">
        <v>25</v>
      </c>
      <c r="C168" t="s">
        <v>13</v>
      </c>
      <c r="D168" t="s">
        <v>10</v>
      </c>
      <c r="E168" s="4">
        <v>200</v>
      </c>
      <c r="F168" s="6">
        <v>45458</v>
      </c>
      <c r="G168" t="str">
        <f t="shared" si="4"/>
        <v>25–34</v>
      </c>
      <c r="H168" t="str">
        <f t="shared" si="5"/>
        <v>Medium</v>
      </c>
    </row>
    <row r="169" spans="1:8" x14ac:dyDescent="0.35">
      <c r="A169" s="4">
        <v>168</v>
      </c>
      <c r="B169" s="4">
        <v>22</v>
      </c>
      <c r="C169" t="s">
        <v>6</v>
      </c>
      <c r="D169" t="s">
        <v>10</v>
      </c>
      <c r="E169" s="4">
        <v>300</v>
      </c>
      <c r="F169" s="6">
        <v>45459</v>
      </c>
      <c r="G169" t="str">
        <f t="shared" si="4"/>
        <v>18–24</v>
      </c>
      <c r="H169" t="str">
        <f t="shared" si="5"/>
        <v>High</v>
      </c>
    </row>
    <row r="170" spans="1:8" x14ac:dyDescent="0.35">
      <c r="A170" s="4">
        <v>169</v>
      </c>
      <c r="B170" s="4">
        <v>18</v>
      </c>
      <c r="C170" t="s">
        <v>8</v>
      </c>
      <c r="D170" t="s">
        <v>9</v>
      </c>
      <c r="E170" s="4">
        <v>100</v>
      </c>
      <c r="F170" s="6">
        <v>45460</v>
      </c>
      <c r="G170" t="str">
        <f t="shared" si="4"/>
        <v>18–24</v>
      </c>
      <c r="H170" t="str">
        <f t="shared" si="5"/>
        <v>Medium</v>
      </c>
    </row>
    <row r="171" spans="1:8" x14ac:dyDescent="0.35">
      <c r="A171" s="4">
        <v>170</v>
      </c>
      <c r="B171" s="4">
        <v>30</v>
      </c>
      <c r="C171" t="s">
        <v>8</v>
      </c>
      <c r="D171" t="s">
        <v>10</v>
      </c>
      <c r="E171" s="4">
        <v>200</v>
      </c>
      <c r="F171" s="6">
        <v>45461</v>
      </c>
      <c r="G171" t="str">
        <f t="shared" si="4"/>
        <v>25–34</v>
      </c>
      <c r="H171" t="str">
        <f t="shared" si="5"/>
        <v>Medium</v>
      </c>
    </row>
    <row r="172" spans="1:8" x14ac:dyDescent="0.35">
      <c r="A172" s="4">
        <v>171</v>
      </c>
      <c r="B172" s="4">
        <v>35</v>
      </c>
      <c r="C172" t="s">
        <v>8</v>
      </c>
      <c r="D172" t="s">
        <v>10</v>
      </c>
      <c r="E172" s="4">
        <v>50</v>
      </c>
      <c r="F172" s="6">
        <v>45462</v>
      </c>
      <c r="G172" t="str">
        <f t="shared" si="4"/>
        <v>35–44</v>
      </c>
      <c r="H172" t="str">
        <f t="shared" si="5"/>
        <v>Low</v>
      </c>
    </row>
    <row r="173" spans="1:8" x14ac:dyDescent="0.35">
      <c r="A173" s="4">
        <v>172</v>
      </c>
      <c r="B173" s="4">
        <v>18</v>
      </c>
      <c r="C173" t="s">
        <v>8</v>
      </c>
      <c r="D173" t="s">
        <v>11</v>
      </c>
      <c r="E173" s="4">
        <v>200</v>
      </c>
      <c r="F173" s="6">
        <v>45463</v>
      </c>
      <c r="G173" t="str">
        <f t="shared" si="4"/>
        <v>18–24</v>
      </c>
      <c r="H173" t="str">
        <f t="shared" si="5"/>
        <v>Medium</v>
      </c>
    </row>
    <row r="174" spans="1:8" x14ac:dyDescent="0.35">
      <c r="A174" s="4">
        <v>173</v>
      </c>
      <c r="B174" s="4">
        <v>30</v>
      </c>
      <c r="C174" t="s">
        <v>8</v>
      </c>
      <c r="D174" t="s">
        <v>10</v>
      </c>
      <c r="E174" s="4">
        <v>50</v>
      </c>
      <c r="F174" s="6">
        <v>45464</v>
      </c>
      <c r="G174" t="str">
        <f t="shared" si="4"/>
        <v>25–34</v>
      </c>
      <c r="H174" t="str">
        <f t="shared" si="5"/>
        <v>Low</v>
      </c>
    </row>
    <row r="175" spans="1:8" x14ac:dyDescent="0.35">
      <c r="A175" s="4">
        <v>174</v>
      </c>
      <c r="B175" s="4">
        <v>25</v>
      </c>
      <c r="C175" t="s">
        <v>6</v>
      </c>
      <c r="D175" t="s">
        <v>12</v>
      </c>
      <c r="E175" s="4">
        <v>100</v>
      </c>
      <c r="F175" s="6">
        <v>45465</v>
      </c>
      <c r="G175" t="str">
        <f t="shared" si="4"/>
        <v>25–34</v>
      </c>
      <c r="H175" t="str">
        <f t="shared" si="5"/>
        <v>Medium</v>
      </c>
    </row>
    <row r="176" spans="1:8" x14ac:dyDescent="0.35">
      <c r="A176" s="4">
        <v>175</v>
      </c>
      <c r="B176" s="4">
        <v>30</v>
      </c>
      <c r="C176" t="s">
        <v>8</v>
      </c>
      <c r="D176" t="s">
        <v>11</v>
      </c>
      <c r="E176" s="4">
        <v>200</v>
      </c>
      <c r="F176" s="6">
        <v>45466</v>
      </c>
      <c r="G176" t="str">
        <f t="shared" si="4"/>
        <v>25–34</v>
      </c>
      <c r="H176" t="str">
        <f t="shared" si="5"/>
        <v>Medium</v>
      </c>
    </row>
    <row r="177" spans="1:8" x14ac:dyDescent="0.35">
      <c r="A177" s="4">
        <v>176</v>
      </c>
      <c r="B177" s="4">
        <v>22</v>
      </c>
      <c r="C177" t="s">
        <v>8</v>
      </c>
      <c r="D177" t="s">
        <v>9</v>
      </c>
      <c r="E177" s="4">
        <v>50</v>
      </c>
      <c r="F177" s="6">
        <v>45467</v>
      </c>
      <c r="G177" t="str">
        <f t="shared" si="4"/>
        <v>18–24</v>
      </c>
      <c r="H177" t="str">
        <f t="shared" si="5"/>
        <v>Low</v>
      </c>
    </row>
    <row r="178" spans="1:8" x14ac:dyDescent="0.35">
      <c r="A178" s="4">
        <v>177</v>
      </c>
      <c r="B178" s="4">
        <v>35</v>
      </c>
      <c r="C178" t="s">
        <v>6</v>
      </c>
      <c r="D178" t="s">
        <v>7</v>
      </c>
      <c r="E178" s="4">
        <v>75</v>
      </c>
      <c r="F178" s="6">
        <v>45468</v>
      </c>
      <c r="G178" t="str">
        <f t="shared" si="4"/>
        <v>35–44</v>
      </c>
      <c r="H178" t="str">
        <f t="shared" si="5"/>
        <v>Low</v>
      </c>
    </row>
    <row r="179" spans="1:8" x14ac:dyDescent="0.35">
      <c r="A179" s="4">
        <v>178</v>
      </c>
      <c r="B179" s="4">
        <v>28</v>
      </c>
      <c r="C179" t="s">
        <v>8</v>
      </c>
      <c r="D179" t="s">
        <v>9</v>
      </c>
      <c r="E179" s="4">
        <v>200</v>
      </c>
      <c r="F179" s="6">
        <v>45469</v>
      </c>
      <c r="G179" t="str">
        <f t="shared" si="4"/>
        <v>25–34</v>
      </c>
      <c r="H179" t="str">
        <f t="shared" si="5"/>
        <v>Medium</v>
      </c>
    </row>
    <row r="180" spans="1:8" x14ac:dyDescent="0.35">
      <c r="A180" s="4">
        <v>179</v>
      </c>
      <c r="B180" s="4">
        <v>45</v>
      </c>
      <c r="C180" t="s">
        <v>6</v>
      </c>
      <c r="D180" t="s">
        <v>10</v>
      </c>
      <c r="E180" s="4">
        <v>200</v>
      </c>
      <c r="F180" s="6">
        <v>45470</v>
      </c>
      <c r="G180" t="str">
        <f t="shared" si="4"/>
        <v>45+</v>
      </c>
      <c r="H180" t="str">
        <f t="shared" si="5"/>
        <v>Medium</v>
      </c>
    </row>
    <row r="181" spans="1:8" x14ac:dyDescent="0.35">
      <c r="A181" s="4">
        <v>180</v>
      </c>
      <c r="B181" s="4">
        <v>22</v>
      </c>
      <c r="C181" t="s">
        <v>8</v>
      </c>
      <c r="D181" t="s">
        <v>7</v>
      </c>
      <c r="E181" s="4">
        <v>150</v>
      </c>
      <c r="F181" s="6">
        <v>45471</v>
      </c>
      <c r="G181" t="str">
        <f t="shared" si="4"/>
        <v>18–24</v>
      </c>
      <c r="H181" t="str">
        <f t="shared" si="5"/>
        <v>Medium</v>
      </c>
    </row>
    <row r="182" spans="1:8" x14ac:dyDescent="0.35">
      <c r="A182" s="4">
        <v>181</v>
      </c>
      <c r="B182" s="4">
        <v>25</v>
      </c>
      <c r="C182" t="s">
        <v>8</v>
      </c>
      <c r="D182" t="s">
        <v>10</v>
      </c>
      <c r="E182" s="4">
        <v>150</v>
      </c>
      <c r="F182" s="6">
        <v>45472</v>
      </c>
      <c r="G182" t="str">
        <f t="shared" si="4"/>
        <v>25–34</v>
      </c>
      <c r="H182" t="str">
        <f t="shared" si="5"/>
        <v>Medium</v>
      </c>
    </row>
    <row r="183" spans="1:8" x14ac:dyDescent="0.35">
      <c r="A183" s="4">
        <v>182</v>
      </c>
      <c r="B183" s="4">
        <v>22</v>
      </c>
      <c r="C183" t="s">
        <v>6</v>
      </c>
      <c r="D183" t="s">
        <v>13</v>
      </c>
      <c r="E183" s="4">
        <v>150</v>
      </c>
      <c r="F183" s="6">
        <v>45473</v>
      </c>
      <c r="G183" t="str">
        <f t="shared" si="4"/>
        <v>18–24</v>
      </c>
      <c r="H183" t="str">
        <f t="shared" si="5"/>
        <v>Medium</v>
      </c>
    </row>
    <row r="184" spans="1:8" x14ac:dyDescent="0.35">
      <c r="A184" s="4">
        <v>183</v>
      </c>
      <c r="B184" s="4">
        <v>45</v>
      </c>
      <c r="C184" t="s">
        <v>6</v>
      </c>
      <c r="D184" t="s">
        <v>10</v>
      </c>
      <c r="E184" s="4">
        <v>75</v>
      </c>
      <c r="F184" s="6">
        <v>45474</v>
      </c>
      <c r="G184" t="str">
        <f t="shared" si="4"/>
        <v>45+</v>
      </c>
      <c r="H184" t="str">
        <f t="shared" si="5"/>
        <v>Low</v>
      </c>
    </row>
    <row r="185" spans="1:8" x14ac:dyDescent="0.35">
      <c r="A185" s="4">
        <v>184</v>
      </c>
      <c r="B185" s="4">
        <v>40</v>
      </c>
      <c r="C185" t="s">
        <v>6</v>
      </c>
      <c r="D185" t="s">
        <v>10</v>
      </c>
      <c r="E185" s="4">
        <v>100</v>
      </c>
      <c r="F185" s="6">
        <v>45475</v>
      </c>
      <c r="G185" t="str">
        <f t="shared" si="4"/>
        <v>35–44</v>
      </c>
      <c r="H185" t="str">
        <f t="shared" si="5"/>
        <v>Medium</v>
      </c>
    </row>
    <row r="186" spans="1:8" x14ac:dyDescent="0.35">
      <c r="A186" s="4">
        <v>185</v>
      </c>
      <c r="B186" s="4">
        <v>25</v>
      </c>
      <c r="C186" t="s">
        <v>6</v>
      </c>
      <c r="D186" t="s">
        <v>12</v>
      </c>
      <c r="E186" s="4">
        <v>75</v>
      </c>
      <c r="F186" s="6">
        <v>45476</v>
      </c>
      <c r="G186" t="str">
        <f t="shared" si="4"/>
        <v>25–34</v>
      </c>
      <c r="H186" t="str">
        <f t="shared" si="5"/>
        <v>Low</v>
      </c>
    </row>
    <row r="187" spans="1:8" x14ac:dyDescent="0.35">
      <c r="A187" s="4">
        <v>186</v>
      </c>
      <c r="B187" s="4">
        <v>35</v>
      </c>
      <c r="C187" t="s">
        <v>6</v>
      </c>
      <c r="D187" t="s">
        <v>7</v>
      </c>
      <c r="E187" s="4">
        <v>300</v>
      </c>
      <c r="F187" s="6">
        <v>45477</v>
      </c>
      <c r="G187" t="str">
        <f t="shared" si="4"/>
        <v>35–44</v>
      </c>
      <c r="H187" t="str">
        <f t="shared" si="5"/>
        <v>High</v>
      </c>
    </row>
    <row r="188" spans="1:8" x14ac:dyDescent="0.35">
      <c r="A188" s="4">
        <v>187</v>
      </c>
      <c r="B188" s="4">
        <v>40</v>
      </c>
      <c r="C188" t="s">
        <v>8</v>
      </c>
      <c r="D188" t="s">
        <v>7</v>
      </c>
      <c r="E188" s="4">
        <v>150</v>
      </c>
      <c r="F188" s="6">
        <v>45478</v>
      </c>
      <c r="G188" t="str">
        <f t="shared" si="4"/>
        <v>35–44</v>
      </c>
      <c r="H188" t="str">
        <f t="shared" si="5"/>
        <v>Medium</v>
      </c>
    </row>
    <row r="189" spans="1:8" x14ac:dyDescent="0.35">
      <c r="A189" s="4">
        <v>188</v>
      </c>
      <c r="B189" s="4">
        <v>30</v>
      </c>
      <c r="C189" t="s">
        <v>8</v>
      </c>
      <c r="D189" t="s">
        <v>7</v>
      </c>
      <c r="E189" s="4">
        <v>100</v>
      </c>
      <c r="F189" s="6">
        <v>45479</v>
      </c>
      <c r="G189" t="str">
        <f t="shared" si="4"/>
        <v>25–34</v>
      </c>
      <c r="H189" t="str">
        <f t="shared" si="5"/>
        <v>Medium</v>
      </c>
    </row>
    <row r="190" spans="1:8" x14ac:dyDescent="0.35">
      <c r="A190" s="4">
        <v>189</v>
      </c>
      <c r="B190" s="4">
        <v>30</v>
      </c>
      <c r="C190" t="s">
        <v>6</v>
      </c>
      <c r="D190" t="s">
        <v>7</v>
      </c>
      <c r="E190" s="4">
        <v>100</v>
      </c>
      <c r="F190" s="6">
        <v>45480</v>
      </c>
      <c r="G190" t="str">
        <f t="shared" si="4"/>
        <v>25–34</v>
      </c>
      <c r="H190" t="str">
        <f t="shared" si="5"/>
        <v>Medium</v>
      </c>
    </row>
    <row r="191" spans="1:8" x14ac:dyDescent="0.35">
      <c r="A191" s="4">
        <v>190</v>
      </c>
      <c r="B191" s="4">
        <v>25</v>
      </c>
      <c r="C191" t="s">
        <v>6</v>
      </c>
      <c r="D191" t="s">
        <v>7</v>
      </c>
      <c r="E191" s="4">
        <v>300</v>
      </c>
      <c r="F191" s="6">
        <v>45481</v>
      </c>
      <c r="G191" t="str">
        <f t="shared" si="4"/>
        <v>25–34</v>
      </c>
      <c r="H191" t="str">
        <f t="shared" si="5"/>
        <v>High</v>
      </c>
    </row>
    <row r="192" spans="1:8" x14ac:dyDescent="0.35">
      <c r="A192" s="4">
        <v>191</v>
      </c>
      <c r="B192" s="4">
        <v>22</v>
      </c>
      <c r="C192" t="s">
        <v>13</v>
      </c>
      <c r="D192" t="s">
        <v>7</v>
      </c>
      <c r="E192" s="4">
        <v>75</v>
      </c>
      <c r="F192" s="6">
        <v>45482</v>
      </c>
      <c r="G192" t="str">
        <f t="shared" si="4"/>
        <v>18–24</v>
      </c>
      <c r="H192" t="str">
        <f t="shared" si="5"/>
        <v>Low</v>
      </c>
    </row>
    <row r="193" spans="1:8" x14ac:dyDescent="0.35">
      <c r="A193" s="4">
        <v>192</v>
      </c>
      <c r="B193" s="4">
        <v>40</v>
      </c>
      <c r="C193" t="s">
        <v>8</v>
      </c>
      <c r="D193" t="s">
        <v>12</v>
      </c>
      <c r="E193" s="4">
        <v>150</v>
      </c>
      <c r="F193" s="6">
        <v>45483</v>
      </c>
      <c r="G193" t="str">
        <f t="shared" si="4"/>
        <v>35–44</v>
      </c>
      <c r="H193" t="str">
        <f t="shared" si="5"/>
        <v>Medium</v>
      </c>
    </row>
    <row r="194" spans="1:8" x14ac:dyDescent="0.35">
      <c r="A194" s="4">
        <v>193</v>
      </c>
      <c r="B194" s="4">
        <v>45</v>
      </c>
      <c r="C194" t="s">
        <v>8</v>
      </c>
      <c r="D194" t="s">
        <v>7</v>
      </c>
      <c r="E194" s="4">
        <v>150</v>
      </c>
      <c r="F194" s="6">
        <v>45484</v>
      </c>
      <c r="G194" t="str">
        <f t="shared" si="4"/>
        <v>45+</v>
      </c>
      <c r="H194" t="str">
        <f t="shared" si="5"/>
        <v>Medium</v>
      </c>
    </row>
    <row r="195" spans="1:8" x14ac:dyDescent="0.35">
      <c r="A195" s="4">
        <v>194</v>
      </c>
      <c r="B195" s="4">
        <v>30</v>
      </c>
      <c r="C195" t="s">
        <v>6</v>
      </c>
      <c r="D195" t="s">
        <v>10</v>
      </c>
      <c r="E195" s="4">
        <v>150</v>
      </c>
      <c r="F195" s="6">
        <v>45485</v>
      </c>
      <c r="G195" t="str">
        <f t="shared" ref="G195:G201" si="6">IF(B195&lt;25,"18–24",IF(B195&lt;35,"25–34",IF(B195&lt;45,"35–44","45+")))</f>
        <v>25–34</v>
      </c>
      <c r="H195" t="str">
        <f t="shared" ref="H195:H201" si="7">IF(E195&lt;100,"Low",IF(E195&lt;=250,"Medium","High"))</f>
        <v>Medium</v>
      </c>
    </row>
    <row r="196" spans="1:8" x14ac:dyDescent="0.35">
      <c r="A196" s="4">
        <v>195</v>
      </c>
      <c r="B196" s="4">
        <v>25</v>
      </c>
      <c r="C196" t="s">
        <v>8</v>
      </c>
      <c r="D196" t="s">
        <v>11</v>
      </c>
      <c r="E196" s="4">
        <v>50</v>
      </c>
      <c r="F196" s="6">
        <v>45486</v>
      </c>
      <c r="G196" t="str">
        <f t="shared" si="6"/>
        <v>25–34</v>
      </c>
      <c r="H196" t="str">
        <f t="shared" si="7"/>
        <v>Low</v>
      </c>
    </row>
    <row r="197" spans="1:8" x14ac:dyDescent="0.35">
      <c r="A197" s="4">
        <v>196</v>
      </c>
      <c r="B197" s="4">
        <v>25</v>
      </c>
      <c r="C197" t="s">
        <v>6</v>
      </c>
      <c r="D197" t="s">
        <v>10</v>
      </c>
      <c r="E197" s="4">
        <v>300</v>
      </c>
      <c r="F197" s="6">
        <v>45487</v>
      </c>
      <c r="G197" t="str">
        <f t="shared" si="6"/>
        <v>25–34</v>
      </c>
      <c r="H197" t="str">
        <f t="shared" si="7"/>
        <v>High</v>
      </c>
    </row>
    <row r="198" spans="1:8" x14ac:dyDescent="0.35">
      <c r="A198" s="4">
        <v>197</v>
      </c>
      <c r="B198" s="4">
        <v>35</v>
      </c>
      <c r="C198" t="s">
        <v>6</v>
      </c>
      <c r="D198" t="s">
        <v>12</v>
      </c>
      <c r="E198" s="4">
        <v>300</v>
      </c>
      <c r="F198" s="6">
        <v>45488</v>
      </c>
      <c r="G198" t="str">
        <f t="shared" si="6"/>
        <v>35–44</v>
      </c>
      <c r="H198" t="str">
        <f t="shared" si="7"/>
        <v>High</v>
      </c>
    </row>
    <row r="199" spans="1:8" x14ac:dyDescent="0.35">
      <c r="A199" s="4">
        <v>198</v>
      </c>
      <c r="B199" s="4">
        <v>40</v>
      </c>
      <c r="C199" t="s">
        <v>8</v>
      </c>
      <c r="D199" t="s">
        <v>7</v>
      </c>
      <c r="E199" s="4">
        <v>150</v>
      </c>
      <c r="F199" s="6">
        <v>45489</v>
      </c>
      <c r="G199" t="str">
        <f t="shared" si="6"/>
        <v>35–44</v>
      </c>
      <c r="H199" t="str">
        <f t="shared" si="7"/>
        <v>Medium</v>
      </c>
    </row>
    <row r="200" spans="1:8" x14ac:dyDescent="0.35">
      <c r="A200" s="4">
        <v>199</v>
      </c>
      <c r="B200" s="4">
        <v>40</v>
      </c>
      <c r="C200" t="s">
        <v>6</v>
      </c>
      <c r="D200" t="s">
        <v>7</v>
      </c>
      <c r="E200" s="4">
        <v>150</v>
      </c>
      <c r="F200" s="6">
        <v>45490</v>
      </c>
      <c r="G200" t="str">
        <f t="shared" si="6"/>
        <v>35–44</v>
      </c>
      <c r="H200" t="str">
        <f t="shared" si="7"/>
        <v>Medium</v>
      </c>
    </row>
    <row r="201" spans="1:8" x14ac:dyDescent="0.35">
      <c r="A201" s="4">
        <v>200</v>
      </c>
      <c r="B201" s="4">
        <v>35</v>
      </c>
      <c r="C201" t="s">
        <v>6</v>
      </c>
      <c r="D201" t="s">
        <v>7</v>
      </c>
      <c r="E201" s="4">
        <v>300</v>
      </c>
      <c r="F201" s="6">
        <v>45491</v>
      </c>
      <c r="G201" t="str">
        <f t="shared" si="6"/>
        <v>35–44</v>
      </c>
      <c r="H201" t="str">
        <f t="shared" si="7"/>
        <v>High</v>
      </c>
    </row>
  </sheetData>
  <autoFilter ref="C1:C201" xr:uid="{5A9A6A60-819B-47D9-BDFB-AE1944BDBC1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43EA-7424-4E8F-9C14-2A991E672E7B}">
  <dimension ref="B4:D9"/>
  <sheetViews>
    <sheetView topLeftCell="A2" zoomScale="143" zoomScaleNormal="94" workbookViewId="0">
      <selection activeCell="B5" sqref="B5:D9"/>
    </sheetView>
  </sheetViews>
  <sheetFormatPr defaultRowHeight="14.5" x14ac:dyDescent="0.35"/>
  <cols>
    <col min="2" max="2" width="13.54296875" customWidth="1"/>
    <col min="3" max="3" width="12.54296875" customWidth="1"/>
    <col min="4" max="4" width="23.453125" customWidth="1"/>
    <col min="5" max="5" width="7" customWidth="1"/>
    <col min="6" max="6" width="5.81640625" customWidth="1"/>
  </cols>
  <sheetData>
    <row r="4" spans="2:4" x14ac:dyDescent="0.35">
      <c r="B4" s="9" t="s">
        <v>17</v>
      </c>
      <c r="C4" s="9" t="s">
        <v>1</v>
      </c>
      <c r="D4" s="9" t="s">
        <v>4</v>
      </c>
    </row>
    <row r="5" spans="2:4" x14ac:dyDescent="0.35">
      <c r="B5" t="s">
        <v>18</v>
      </c>
      <c r="C5">
        <f>COUNT(cleaned_sales_dataset!B2:B211)</f>
        <v>200</v>
      </c>
      <c r="D5">
        <f>COUNT(cleaned_sales_dataset!E2:E211)</f>
        <v>200</v>
      </c>
    </row>
    <row r="6" spans="2:4" x14ac:dyDescent="0.35">
      <c r="B6" t="s">
        <v>19</v>
      </c>
      <c r="C6">
        <f>AVERAGE(cleaned_sales_dataset!B2:B211)</f>
        <v>29.195</v>
      </c>
      <c r="D6">
        <f>AVERAGE(cleaned_sales_dataset!E2:E211)</f>
        <v>137</v>
      </c>
    </row>
    <row r="7" spans="2:4" x14ac:dyDescent="0.35">
      <c r="B7" t="s">
        <v>14</v>
      </c>
      <c r="C7">
        <f>MEDIAN(cleaned_sales_dataset!B2:B211)</f>
        <v>28</v>
      </c>
      <c r="D7">
        <f>MEDIAN(cleaned_sales_dataset!E2:E211)</f>
        <v>100</v>
      </c>
    </row>
    <row r="8" spans="2:4" x14ac:dyDescent="0.35">
      <c r="B8" t="s">
        <v>15</v>
      </c>
      <c r="C8">
        <f>MIN(cleaned_sales_dataset!B2:B211)</f>
        <v>18</v>
      </c>
      <c r="D8">
        <f>MIN(cleaned_sales_dataset!E2:E211)</f>
        <v>50</v>
      </c>
    </row>
    <row r="9" spans="2:4" x14ac:dyDescent="0.35">
      <c r="B9" t="s">
        <v>16</v>
      </c>
      <c r="C9">
        <f>MAX(cleaned_sales_dataset!B2:B211)</f>
        <v>45</v>
      </c>
      <c r="D9">
        <f>MAX(cleaned_sales_dataset!E2:E211)</f>
        <v>500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DD5E-6606-4A6E-BE45-FB8F8F790625}">
  <dimension ref="A3:B7"/>
  <sheetViews>
    <sheetView zoomScale="79"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3" t="s">
        <v>20</v>
      </c>
      <c r="B3" t="s">
        <v>21</v>
      </c>
    </row>
    <row r="4" spans="1:2" x14ac:dyDescent="0.35">
      <c r="A4" s="4" t="s">
        <v>6</v>
      </c>
      <c r="B4" s="5">
        <v>0.51500000000000001</v>
      </c>
    </row>
    <row r="5" spans="1:2" x14ac:dyDescent="0.35">
      <c r="A5" s="4" t="s">
        <v>8</v>
      </c>
      <c r="B5" s="5">
        <v>0.435</v>
      </c>
    </row>
    <row r="6" spans="1:2" x14ac:dyDescent="0.35">
      <c r="A6" s="4" t="s">
        <v>13</v>
      </c>
      <c r="B6" s="5">
        <v>0.05</v>
      </c>
    </row>
    <row r="7" spans="1:2" x14ac:dyDescent="0.35">
      <c r="A7" s="4" t="s">
        <v>22</v>
      </c>
      <c r="B7" s="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78FB-7F4E-4368-9967-A9AC55D7C8B0}">
  <dimension ref="A3:B10"/>
  <sheetViews>
    <sheetView zoomScale="68" zoomScaleNormal="63"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3" t="s">
        <v>20</v>
      </c>
      <c r="B3" t="s">
        <v>21</v>
      </c>
    </row>
    <row r="4" spans="1:2" x14ac:dyDescent="0.35">
      <c r="A4" s="4" t="s">
        <v>11</v>
      </c>
      <c r="B4" s="5">
        <v>0.155</v>
      </c>
    </row>
    <row r="5" spans="1:2" x14ac:dyDescent="0.35">
      <c r="A5" s="4" t="s">
        <v>10</v>
      </c>
      <c r="B5" s="5">
        <v>0.23499999999999999</v>
      </c>
    </row>
    <row r="6" spans="1:2" x14ac:dyDescent="0.35">
      <c r="A6" s="4" t="s">
        <v>7</v>
      </c>
      <c r="B6" s="5">
        <v>0.28000000000000003</v>
      </c>
    </row>
    <row r="7" spans="1:2" x14ac:dyDescent="0.35">
      <c r="A7" s="4" t="s">
        <v>12</v>
      </c>
      <c r="B7" s="5">
        <v>0.18</v>
      </c>
    </row>
    <row r="8" spans="1:2" x14ac:dyDescent="0.35">
      <c r="A8" s="4" t="s">
        <v>13</v>
      </c>
      <c r="B8" s="5">
        <v>0.09</v>
      </c>
    </row>
    <row r="9" spans="1:2" x14ac:dyDescent="0.35">
      <c r="A9" s="4" t="s">
        <v>9</v>
      </c>
      <c r="B9" s="5">
        <v>0.06</v>
      </c>
    </row>
    <row r="10" spans="1:2" x14ac:dyDescent="0.35">
      <c r="A10" s="4" t="s">
        <v>22</v>
      </c>
      <c r="B10" s="5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EAAF-EE18-4615-8C38-2378360D7CFF}">
  <dimension ref="A3:B7"/>
  <sheetViews>
    <sheetView topLeftCell="B1" zoomScale="58" workbookViewId="0">
      <selection activeCell="B23" sqref="B23"/>
    </sheetView>
  </sheetViews>
  <sheetFormatPr defaultRowHeight="14.5" x14ac:dyDescent="0.35"/>
  <cols>
    <col min="1" max="1" width="14.54296875" bestFit="1" customWidth="1"/>
    <col min="2" max="2" width="19.81640625" bestFit="1" customWidth="1"/>
  </cols>
  <sheetData>
    <row r="3" spans="1:2" x14ac:dyDescent="0.35">
      <c r="A3" s="3" t="s">
        <v>20</v>
      </c>
      <c r="B3" t="s">
        <v>21</v>
      </c>
    </row>
    <row r="4" spans="1:2" x14ac:dyDescent="0.35">
      <c r="A4" s="4" t="s">
        <v>30</v>
      </c>
      <c r="B4" s="5">
        <v>0.11</v>
      </c>
    </row>
    <row r="5" spans="1:2" x14ac:dyDescent="0.35">
      <c r="A5" s="4" t="s">
        <v>31</v>
      </c>
      <c r="B5" s="5">
        <v>0.33</v>
      </c>
    </row>
    <row r="6" spans="1:2" x14ac:dyDescent="0.35">
      <c r="A6" s="4" t="s">
        <v>32</v>
      </c>
      <c r="B6" s="5">
        <v>0.56000000000000005</v>
      </c>
    </row>
    <row r="7" spans="1:2" x14ac:dyDescent="0.35">
      <c r="A7" s="4" t="s">
        <v>22</v>
      </c>
      <c r="B7" s="5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54CC-2B70-4BB2-9EA9-76D25B4B308A}">
  <dimension ref="A3:B8"/>
  <sheetViews>
    <sheetView zoomScale="52"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3" t="s">
        <v>20</v>
      </c>
      <c r="B3" t="s">
        <v>21</v>
      </c>
    </row>
    <row r="4" spans="1:2" x14ac:dyDescent="0.35">
      <c r="A4" s="4" t="s">
        <v>25</v>
      </c>
      <c r="B4">
        <v>46</v>
      </c>
    </row>
    <row r="5" spans="1:2" x14ac:dyDescent="0.35">
      <c r="A5" s="4" t="s">
        <v>26</v>
      </c>
      <c r="B5">
        <v>96</v>
      </c>
    </row>
    <row r="6" spans="1:2" x14ac:dyDescent="0.35">
      <c r="A6" s="4" t="s">
        <v>27</v>
      </c>
      <c r="B6">
        <v>47</v>
      </c>
    </row>
    <row r="7" spans="1:2" x14ac:dyDescent="0.35">
      <c r="A7" s="4" t="s">
        <v>28</v>
      </c>
      <c r="B7">
        <v>11</v>
      </c>
    </row>
    <row r="8" spans="1:2" x14ac:dyDescent="0.35">
      <c r="A8" s="4" t="s">
        <v>22</v>
      </c>
      <c r="B8">
        <v>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7815-7264-4735-BF72-87665493A467}">
  <dimension ref="A3:B8"/>
  <sheetViews>
    <sheetView topLeftCell="B2" zoomScale="84"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28.7265625" bestFit="1" customWidth="1"/>
  </cols>
  <sheetData>
    <row r="3" spans="1:2" x14ac:dyDescent="0.35">
      <c r="A3" s="3" t="s">
        <v>20</v>
      </c>
      <c r="B3" t="s">
        <v>33</v>
      </c>
    </row>
    <row r="4" spans="1:2" x14ac:dyDescent="0.35">
      <c r="A4" s="4" t="s">
        <v>27</v>
      </c>
      <c r="B4">
        <v>148.93617021276594</v>
      </c>
    </row>
    <row r="5" spans="1:2" x14ac:dyDescent="0.35">
      <c r="A5" s="4" t="s">
        <v>25</v>
      </c>
      <c r="B5">
        <v>146.19565217391303</v>
      </c>
    </row>
    <row r="6" spans="1:2" x14ac:dyDescent="0.35">
      <c r="A6" s="4" t="s">
        <v>26</v>
      </c>
      <c r="B6">
        <v>130.20833333333334</v>
      </c>
    </row>
    <row r="7" spans="1:2" x14ac:dyDescent="0.35">
      <c r="A7" s="4" t="s">
        <v>28</v>
      </c>
      <c r="B7">
        <v>106.81818181818181</v>
      </c>
    </row>
    <row r="8" spans="1:2" x14ac:dyDescent="0.35">
      <c r="A8" s="4" t="s">
        <v>22</v>
      </c>
      <c r="B8">
        <v>137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DF4D-7DB3-41A5-AFCB-268F1CC5BB8F}">
  <dimension ref="A3:B10"/>
  <sheetViews>
    <sheetView zoomScale="59" workbookViewId="0">
      <selection activeCell="B23" sqref="B23"/>
    </sheetView>
  </sheetViews>
  <sheetFormatPr defaultRowHeight="14.5" x14ac:dyDescent="0.35"/>
  <cols>
    <col min="1" max="1" width="14.26953125" bestFit="1" customWidth="1"/>
    <col min="2" max="2" width="26" bestFit="1" customWidth="1"/>
  </cols>
  <sheetData>
    <row r="3" spans="1:2" x14ac:dyDescent="0.35">
      <c r="A3" s="3" t="s">
        <v>20</v>
      </c>
      <c r="B3" t="s">
        <v>23</v>
      </c>
    </row>
    <row r="4" spans="1:2" x14ac:dyDescent="0.35">
      <c r="A4" s="4" t="s">
        <v>9</v>
      </c>
      <c r="B4">
        <v>1800</v>
      </c>
    </row>
    <row r="5" spans="1:2" x14ac:dyDescent="0.35">
      <c r="A5" s="4" t="s">
        <v>13</v>
      </c>
      <c r="B5">
        <v>2700</v>
      </c>
    </row>
    <row r="6" spans="1:2" x14ac:dyDescent="0.35">
      <c r="A6" s="4" t="s">
        <v>11</v>
      </c>
      <c r="B6">
        <v>4425</v>
      </c>
    </row>
    <row r="7" spans="1:2" x14ac:dyDescent="0.35">
      <c r="A7" s="4" t="s">
        <v>12</v>
      </c>
      <c r="B7">
        <v>5125</v>
      </c>
    </row>
    <row r="8" spans="1:2" x14ac:dyDescent="0.35">
      <c r="A8" s="4" t="s">
        <v>10</v>
      </c>
      <c r="B8">
        <v>6100</v>
      </c>
    </row>
    <row r="9" spans="1:2" x14ac:dyDescent="0.35">
      <c r="A9" s="4" t="s">
        <v>7</v>
      </c>
      <c r="B9">
        <v>7250</v>
      </c>
    </row>
    <row r="10" spans="1:2" x14ac:dyDescent="0.35">
      <c r="A10" s="4" t="s">
        <v>22</v>
      </c>
      <c r="B10">
        <v>27400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ED2B-C1F3-47C2-B62B-716772DDCB51}">
  <dimension ref="A3:B8"/>
  <sheetViews>
    <sheetView zoomScale="70" zoomScaleNormal="70"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26" bestFit="1" customWidth="1"/>
  </cols>
  <sheetData>
    <row r="3" spans="1:2" x14ac:dyDescent="0.35">
      <c r="A3" s="3" t="s">
        <v>20</v>
      </c>
      <c r="B3" t="s">
        <v>23</v>
      </c>
    </row>
    <row r="4" spans="1:2" x14ac:dyDescent="0.35">
      <c r="A4" s="4" t="s">
        <v>6</v>
      </c>
      <c r="B4" s="5">
        <v>0.53832116788321172</v>
      </c>
    </row>
    <row r="5" spans="1:2" x14ac:dyDescent="0.35">
      <c r="A5" s="4" t="s">
        <v>8</v>
      </c>
      <c r="B5" s="5">
        <v>0.41514598540145986</v>
      </c>
    </row>
    <row r="6" spans="1:2" x14ac:dyDescent="0.35">
      <c r="A6" s="4" t="s">
        <v>13</v>
      </c>
      <c r="B6" s="5">
        <v>4.6532846715328466E-2</v>
      </c>
    </row>
    <row r="7" spans="1:2" x14ac:dyDescent="0.35">
      <c r="A7" s="4" t="s">
        <v>22</v>
      </c>
      <c r="B7" s="5">
        <v>1</v>
      </c>
    </row>
    <row r="8" spans="1:2" x14ac:dyDescent="0.35">
      <c r="A8" s="4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1C55-2651-4C5E-B2FD-94D3B00D06AA}">
  <dimension ref="A3:B11"/>
  <sheetViews>
    <sheetView zoomScale="64" workbookViewId="0">
      <selection activeCell="B23" sqref="B23"/>
    </sheetView>
  </sheetViews>
  <sheetFormatPr defaultRowHeight="14.5" x14ac:dyDescent="0.35"/>
  <cols>
    <col min="1" max="1" width="12.453125" customWidth="1"/>
    <col min="2" max="2" width="26" bestFit="1" customWidth="1"/>
  </cols>
  <sheetData>
    <row r="3" spans="1:2" x14ac:dyDescent="0.35">
      <c r="A3" s="3" t="s">
        <v>20</v>
      </c>
      <c r="B3" t="s">
        <v>23</v>
      </c>
    </row>
    <row r="4" spans="1:2" x14ac:dyDescent="0.35">
      <c r="A4" s="4" t="s">
        <v>34</v>
      </c>
      <c r="B4">
        <v>3700</v>
      </c>
    </row>
    <row r="5" spans="1:2" x14ac:dyDescent="0.35">
      <c r="A5" s="4" t="s">
        <v>35</v>
      </c>
      <c r="B5">
        <v>3600</v>
      </c>
    </row>
    <row r="6" spans="1:2" x14ac:dyDescent="0.35">
      <c r="A6" s="4" t="s">
        <v>36</v>
      </c>
      <c r="B6">
        <v>4125</v>
      </c>
    </row>
    <row r="7" spans="1:2" x14ac:dyDescent="0.35">
      <c r="A7" s="4" t="s">
        <v>37</v>
      </c>
      <c r="B7">
        <v>4150</v>
      </c>
    </row>
    <row r="8" spans="1:2" x14ac:dyDescent="0.35">
      <c r="A8" s="4" t="s">
        <v>38</v>
      </c>
      <c r="B8">
        <v>4525</v>
      </c>
    </row>
    <row r="9" spans="1:2" x14ac:dyDescent="0.35">
      <c r="A9" s="4" t="s">
        <v>39</v>
      </c>
      <c r="B9">
        <v>4325</v>
      </c>
    </row>
    <row r="10" spans="1:2" x14ac:dyDescent="0.35">
      <c r="A10" s="4" t="s">
        <v>40</v>
      </c>
      <c r="B10">
        <v>2975</v>
      </c>
    </row>
    <row r="11" spans="1:2" x14ac:dyDescent="0.35">
      <c r="A11" s="4" t="s">
        <v>22</v>
      </c>
      <c r="B11">
        <v>27400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raw_sales_dataset</vt:lpstr>
      <vt:lpstr>cleaned_sales_dataset</vt:lpstr>
      <vt:lpstr>Descriptive_Statistics</vt:lpstr>
      <vt:lpstr>Gender_Analysis</vt:lpstr>
      <vt:lpstr>Product_Analysis</vt:lpstr>
      <vt:lpstr>Purchase_Analysis</vt:lpstr>
      <vt:lpstr>Age_Analysis</vt:lpstr>
      <vt:lpstr>Avg_Purchase_By_Age</vt:lpstr>
      <vt:lpstr>Revenue_By_Product</vt:lpstr>
      <vt:lpstr>Revenue_By_Gender</vt:lpstr>
      <vt:lpstr>Monthly_Sales_Trend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Nurul Fatihah Binti Rizwan</cp:lastModifiedBy>
  <dcterms:created xsi:type="dcterms:W3CDTF">2026-01-04T06:40:07Z</dcterms:created>
  <dcterms:modified xsi:type="dcterms:W3CDTF">2026-01-07T10:06:55Z</dcterms:modified>
</cp:coreProperties>
</file>